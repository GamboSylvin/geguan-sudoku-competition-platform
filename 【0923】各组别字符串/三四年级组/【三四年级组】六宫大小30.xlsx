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7-9六宫大小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5" name="ID_366339E30316472DA6933D87A2EFEACE" descr="penpa- (5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48425" y="9661525"/>
          <a:ext cx="5505450" cy="5505450"/>
        </a:xfrm>
        <a:prstGeom prst="rect">
          <a:avLst/>
        </a:prstGeom>
      </xdr:spPr>
    </xdr:pic>
  </etc:cellImage>
  <etc:cellImage>
    <xdr:pic>
      <xdr:nvPicPr>
        <xdr:cNvPr id="232" name="ID_0BC83023111D42CBBAC9D76766BADC21" descr="penpa- (8)"/>
        <xdr:cNvPicPr/>
      </xdr:nvPicPr>
      <xdr:blipFill>
        <a:blip r:embed="rId2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51" name="ID_14580698E5D941E2A52EC9D983042FE2" descr="penpa- (7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48425" y="13471525"/>
          <a:ext cx="5505450" cy="5505450"/>
        </a:xfrm>
        <a:prstGeom prst="rect">
          <a:avLst/>
        </a:prstGeom>
      </xdr:spPr>
    </xdr:pic>
  </etc:cellImage>
  <etc:cellImage>
    <xdr:pic>
      <xdr:nvPicPr>
        <xdr:cNvPr id="225" name="ID_BFF26B7CE2904546AB3F84E8E45716AF" descr="penpa- (1)"/>
        <xdr:cNvPicPr/>
      </xdr:nvPicPr>
      <xdr:blipFill>
        <a:blip r:embed="rId4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53" name="ID_C8A86C3BED89407F9B726BD03DB1FCBA" descr="penpa- (10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48425" y="19186525"/>
          <a:ext cx="5505450" cy="5505450"/>
        </a:xfrm>
        <a:prstGeom prst="rect">
          <a:avLst/>
        </a:prstGeom>
      </xdr:spPr>
    </xdr:pic>
  </etc:cellImage>
  <etc:cellImage>
    <xdr:pic>
      <xdr:nvPicPr>
        <xdr:cNvPr id="229" name="ID_5600B564263B454C9ED7939D5D17F81E" descr="penpa- (5)"/>
        <xdr:cNvPicPr/>
      </xdr:nvPicPr>
      <xdr:blipFill>
        <a:blip r:embed="rId6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27" name="ID_5063786BEA3441C886A4B3BB324BDB50" descr="penpa- (3)"/>
        <xdr:cNvPicPr/>
      </xdr:nvPicPr>
      <xdr:blipFill>
        <a:blip r:embed="rId7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50" name="ID_6E523D11196B4234B958994FD93E6BD1" descr="penpa- (8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448425" y="15376525"/>
          <a:ext cx="5505450" cy="5505450"/>
        </a:xfrm>
        <a:prstGeom prst="rect">
          <a:avLst/>
        </a:prstGeom>
      </xdr:spPr>
    </xdr:pic>
  </etc:cellImage>
  <etc:cellImage>
    <xdr:pic>
      <xdr:nvPicPr>
        <xdr:cNvPr id="226" name="ID_250DCBF4E6F14478A426094BE763881E" descr="penpa- (2)"/>
        <xdr:cNvPicPr/>
      </xdr:nvPicPr>
      <xdr:blipFill>
        <a:blip r:embed="rId9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31" name="ID_DF27B531051D465AA3B6880C33894981" descr="penpa- (7)"/>
        <xdr:cNvPicPr/>
      </xdr:nvPicPr>
      <xdr:blipFill>
        <a:blip r:embed="rId10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28" name="ID_D416455AB83C4EB0861F99FBAABADE77" descr="penpa- (4)"/>
        <xdr:cNvPicPr/>
      </xdr:nvPicPr>
      <xdr:blipFill>
        <a:blip r:embed="rId11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30" name="ID_1753F01D7FA24F7DBC4CA886E32B482F" descr="penpa- (6)"/>
        <xdr:cNvPicPr/>
      </xdr:nvPicPr>
      <xdr:blipFill>
        <a:blip r:embed="rId12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33" name="ID_78F1AB941DA54CBF8ED8F5F48F415B15" descr="penpa- (9)"/>
        <xdr:cNvPicPr/>
      </xdr:nvPicPr>
      <xdr:blipFill>
        <a:blip r:embed="rId13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34" name="ID_650C593D3E2F436A95ED89CF3FB84412" descr="penpa- (10)"/>
        <xdr:cNvPicPr/>
      </xdr:nvPicPr>
      <xdr:blipFill>
        <a:blip r:embed="rId14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35" name="ID_5AE843020A6B4BE18C21F96959521D8D" descr="penpa- (11)"/>
        <xdr:cNvPicPr/>
      </xdr:nvPicPr>
      <xdr:blipFill>
        <a:blip r:embed="rId15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36" name="ID_9C92F06C67AD46D188E3CE9FD76AD348" descr="penpa- (12)"/>
        <xdr:cNvPicPr/>
      </xdr:nvPicPr>
      <xdr:blipFill>
        <a:blip r:embed="rId16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37" name="ID_0B3536A1AEBC4353B0AD6AFE29FAC4E1" descr="penpa- (13)"/>
        <xdr:cNvPicPr/>
      </xdr:nvPicPr>
      <xdr:blipFill>
        <a:blip r:embed="rId17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38" name="ID_840708579EE645EDAA53139A488D8634" descr="penpa- (14)"/>
        <xdr:cNvPicPr/>
      </xdr:nvPicPr>
      <xdr:blipFill>
        <a:blip r:embed="rId18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39" name="ID_BFB60214576E42B7B7C14421562079A5" descr="penpa- (15)"/>
        <xdr:cNvPicPr/>
      </xdr:nvPicPr>
      <xdr:blipFill>
        <a:blip r:embed="rId19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40" name="ID_93C43BA515504D0D91BE4428523EBDA4" descr="penpa- (16)"/>
        <xdr:cNvPicPr/>
      </xdr:nvPicPr>
      <xdr:blipFill>
        <a:blip r:embed="rId20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41" name="ID_C0686D61969644A5A6ADC185C4400CC5" descr="penpa- (17)"/>
        <xdr:cNvPicPr/>
      </xdr:nvPicPr>
      <xdr:blipFill>
        <a:blip r:embed="rId21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42" name="ID_6027B4F563874AAA854925BB01839763" descr="penpa- (18)"/>
        <xdr:cNvPicPr/>
      </xdr:nvPicPr>
      <xdr:blipFill>
        <a:blip r:embed="rId22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43" name="ID_A42B06C370674996BBB34FCC911C80E7" descr="penpa- (19)"/>
        <xdr:cNvPicPr/>
      </xdr:nvPicPr>
      <xdr:blipFill>
        <a:blip r:embed="rId23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244" name="ID_A8EEE58FAEE840E68B18129E7842D1EB" descr="penpa- (20)"/>
        <xdr:cNvPicPr/>
      </xdr:nvPicPr>
      <xdr:blipFill>
        <a:blip r:embed="rId24"/>
        <a:stretch>
          <a:fillRect/>
        </a:stretch>
      </xdr:blipFill>
      <xdr:spPr>
        <a:xfrm>
          <a:off x="0" y="0"/>
          <a:ext cx="5505450" cy="5505450"/>
        </a:xfrm>
        <a:prstGeom prst="rect">
          <a:avLst/>
        </a:prstGeom>
      </xdr:spPr>
    </xdr:pic>
  </etc:cellImage>
  <etc:cellImage>
    <xdr:pic>
      <xdr:nvPicPr>
        <xdr:cNvPr id="44" name="ID_1BBB7A55BCE74D60BF3754FE180832D9" descr="penpa- (1)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448425" y="2035175"/>
          <a:ext cx="5505450" cy="5511800"/>
        </a:xfrm>
        <a:prstGeom prst="rect">
          <a:avLst/>
        </a:prstGeom>
      </xdr:spPr>
    </xdr:pic>
  </etc:cellImage>
  <etc:cellImage>
    <xdr:pic>
      <xdr:nvPicPr>
        <xdr:cNvPr id="47" name="ID_51AA5BF207A74859A8A6260D3B0B271F" descr="penpa- (2)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448425" y="3946525"/>
          <a:ext cx="5505450" cy="5505450"/>
        </a:xfrm>
        <a:prstGeom prst="rect">
          <a:avLst/>
        </a:prstGeom>
      </xdr:spPr>
    </xdr:pic>
  </etc:cellImage>
  <etc:cellImage>
    <xdr:pic>
      <xdr:nvPicPr>
        <xdr:cNvPr id="48" name="ID_680EF99FD75247C7AC276F7F903A3E56" descr="penpa- (3)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448425" y="5851525"/>
          <a:ext cx="5505450" cy="5505450"/>
        </a:xfrm>
        <a:prstGeom prst="rect">
          <a:avLst/>
        </a:prstGeom>
      </xdr:spPr>
    </xdr:pic>
  </etc:cellImage>
  <etc:cellImage>
    <xdr:pic>
      <xdr:nvPicPr>
        <xdr:cNvPr id="46" name="ID_26116873F09A419586E49DE1C1BAA16A" descr="penpa- (4)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448425" y="7756525"/>
          <a:ext cx="5505450" cy="5505450"/>
        </a:xfrm>
        <a:prstGeom prst="rect">
          <a:avLst/>
        </a:prstGeom>
      </xdr:spPr>
    </xdr:pic>
  </etc:cellImage>
  <etc:cellImage>
    <xdr:pic>
      <xdr:nvPicPr>
        <xdr:cNvPr id="49" name="ID_BA207ECDF2234419B20753856D70302D" descr="penpa- (6)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448425" y="11566525"/>
          <a:ext cx="5505450" cy="5505450"/>
        </a:xfrm>
        <a:prstGeom prst="rect">
          <a:avLst/>
        </a:prstGeom>
      </xdr:spPr>
    </xdr:pic>
  </etc:cellImage>
  <etc:cellImage>
    <xdr:pic>
      <xdr:nvPicPr>
        <xdr:cNvPr id="52" name="ID_639A902DE7204829AFA427BBEC86E8ED" descr="penpa- (9)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448425" y="17281525"/>
          <a:ext cx="5505450" cy="55054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<sst xmlns="http://schemas.openxmlformats.org/spreadsheetml/2006/main" count="100" uniqueCount="42">
  <si>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</si>
  <si>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</si>
  <si>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</si>
  <si>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</si>
  <si>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</si>
  <si>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</si>
  <si>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</si>
  <si>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</si>
  <si>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</si>
  <si>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t>将数字 1-6 填入空格内，使得每行、每列、每宫内数字均不重复。灰色格内只能填较大数（4、5、6），白色格内只能填较小数（1、2、3）。</t>
  </si>
  <si>
    <t/>
  </si>
  <si>
    <t>六宫大小数数独</t>
  </si>
  <si>
    <t>[1,,6,,3,5],
[4,,3,1,2,6],
[6,1,2,5,4,3],
[3,4,5,2,6,1],
[2,6,1,3,,4],
[5,3,,6,,2]</t>
  </si>
  <si>
    <t>[4,2,1,,,6],
[,5,3,1,4,2],
[5,4,6,,1,],
[,1,,5,6,4],
[1,3,4,6,2,],
[2,,,4,3,1]</t>
  </si>
  <si>
    <t>[2,,5,3,4,],
[1,3,4,,6,2],
[3,2,1,6,5,],
[,5,6,1,2,3],
[5,1,,4,3,6],
[,4,3,2,,5]</t>
  </si>
  <si>
    <t>[3,4,1,,6,],
[6,2,5,3,1,4],
[1,5,6,2,,3],
[4,,2,1,5,6],
[2,1,4,6,3,5],
[,6,,4,2,1]</t>
  </si>
  <si>
    <t>[3,5,,6,4,2],
[4,6,2,,,1],
[1,2,3,4,5,],
[,4,6,2,1,3],
[6,,,3,2,5],
[2,3,5,,6,4]</t>
  </si>
  <si>
    <t>[5,2,4,1,3,6],
[3,1,6,5,4,],
[6,4,3,,,5],
[1,,,4,6,3],
[,3,5,6,2,1],
[2,6,1,3,5,4]</t>
  </si>
  <si>
    <t>[2,,,4,6,3],
[3,4,6,,2,1],
[6,5,1,2,3,],
[,2,3,1,5,6],
[1,6,,3,4,5],
[5,3,4,,,2]</t>
  </si>
  <si>
    <t>[,,4,2,3,1],
[2,1,3,,,6],
[3,2,,6,4,5],
[4,6,5,,1,2],
[5,,,1,6,4],
[1,4,6,5,,]</t>
  </si>
  <si>
    <t>[2,,5,3,4,1],
[4,1,3,,,5],
[,3,2,6,5,4],
[5,4,6,1,3,],
[3,,,5,1,6],
[6,5,1,4,,3]</t>
  </si>
  <si>
    <t>[6,4,2,,5,],
[,1,3,4,2,6],
[3,5,4,,,2],
[1,,,5,3,4],
[2,6,5,1,4,],
[,3,,2,6,5]</t>
  </si>
  <si>
    <t>[,1,3,5,2,4],
[5,4,2,,6,3],
[3,5,6,4,,],
[,,1,6,3,5],
[2,6,,3,5,1],
[1,3,5,2,4,]</t>
  </si>
  <si>
    <t>[2,,6,5,1,3],
[1,3,5,,4,],
[4,6,1,3,,2],
[3,,2,1,6,4],
[,1,,4,2,5],
[5,2,4,6,,1]</t>
  </si>
  <si>
    <t>[,5,,2,4,1],
[4,2,1,6,,3],
[3,4,2,5,,6],
[5,,6,3,2,4],
[1,,5,4,3,2],
[2,3,4,,6,]</t>
  </si>
  <si>
    <t>[5,,,3,4,1],
[3,1,4,2,,6],
[1,5,2,4,6,],
[,4,3,1,2,5],
[2,,5,6,1,4],
[4,6,1,,,2]</t>
  </si>
  <si>
    <t>[,1,3,5,6,2],
[6,2,5,1,,4],
[,4,,3,5,6],
[3,5,6,,2,],
[5,,4,2,1,3],
[1,3,2,6,4,]</t>
  </si>
  <si>
    <t>[,1,,4,5,6],
[4,5,6,3,1,],
[5,,4,2,3,1],
[1,2,3,6,,5],
[,4,1,5,2,3],
[2,3,5,,6,]</t>
  </si>
  <si>
    <t>[5,4,,3,1,6],
[6,1,3,2,5,],
[1,3,,6,2,5],
[2,5,6,,4,3],
[,2,5,4,6,1],
[4,6,1,,3,2]</t>
  </si>
  <si>
    <t>[,4,1,5,6,3],
[5,6,3,2,,4],
[,5,,1,3,2],
[1,3,2,,4,],
[3,,5,4,2,6],
[6,2,4,3,5,]</t>
  </si>
  <si>
    <t>[3,1,5,,4,2],
[,2,6,3,1,5],
[5,3,4,2,6,],
[,6,1,5,3,4],
[1,5,3,4,2,],
[6,4,,1,5,3]</t>
  </si>
  <si>
    <t>[,5,,3,4,1],
[3,1,4,5,2,],
[1,6,5,2,3,4],
[2,4,3,6,1,5],
[,3,6,1,5,2],
[5,2,1,,6,]</t>
  </si>
  <si>
    <t>[2,6,5,1,,4],
[3,1,4,5,,2],
[6,4,,2,5,3],
[5,3,2,,1,6],
[4,,6,3,2,1],
[1,,3,6,4,5]</t>
  </si>
  <si>
    <t>[3,6,,1,5,4],
[5,1,4,6,2,],
[1,3,5,2,4,],
[,4,6,3,1,5],
[,5,1,4,3,2],
[4,2,3,,6,1]</t>
  </si>
  <si>
    <t>[2,,5,4,6,3],
[4,6,3,5,2,],
[3,4,6,2,,5],
[5,,1,3,4,6],
[,5,2,1,3,4],
[1,3,4,6,,2]</t>
  </si>
  <si>
    <t>[,3,5,1,4,2],
[4,1,2,,6,3],
[1,2,6,4,,5],
[5,,3,2,1,6],
[2,6,,3,5,4],
[3,5,4,6,2,]</t>
  </si>
  <si>
    <t>[2,3,5,1,,],
[6,1,4,5,2,3],
[4,5,3,2,6,],
[,6,2,4,3,5],
[5,2,6,3,1,4],
[,,1,6,5,2]</t>
  </si>
  <si>
    <t>[,4,3,1,2,5],
[5,2,1,,6,],
[4,1,6,2,5,3],
[3,5,,4,1,6],
[2,,5,6,4,1],
[1,6,4,5,3,]</t>
  </si>
  <si>
    <t>[,,2,1,5,4],
[4,5,1,6,,2],
[2,6,5,4,1,3],
[1,4,3,2,6,5],
[3,2,6,5,,1],
[,,4,3,2,6]</t>
  </si>
  <si>
    <t>[6,,1,2,4,5],
[,2,4,1,6,3],
[1,4,5,3,,],
[2,6,3,4,5,1],
[3,5,,6,1,4],
[4,1,,5,3,2]</t>
  </si>
  <si>
    <t>[4,1,3,5,2,6],
[,6,5,,1,3],
[5,,1,6,3,4],
[6,3,4,1,,2],
[3,5,,2,4,],
[1,4,2,3,6,5]</t>
  </si>
  <si>
    <t>[2,6,1,5,4,3],
[,4,3,2,1,],
[6,,4,1,,2],
[1,,5,6,,4],
[,5,6,3,2,],
[3,1,2,4,6,5]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</si>
</sst>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49" fontId="0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0" Type="http://schemas.openxmlformats.org/officeDocument/2006/relationships/image" Target="media/image30.jpeg"/><Relationship Id="rId3" Type="http://schemas.openxmlformats.org/officeDocument/2006/relationships/image" Target="media/image3.jpeg"/><Relationship Id="rId29" Type="http://schemas.openxmlformats.org/officeDocument/2006/relationships/image" Target="media/image29.jpe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zoomScale="90" zoomScaleNormal="90" workbookViewId="0">
      <pane ySplit="1" topLeftCell="A2" activePane="bottomLeft" state="frozen"/>
      <selection/>
      <selection pane="bottomLeft" activeCell="L7" sqref="L7"/>
    </sheetView>
  </sheetViews>
  <sheetFormatPr defaultColWidth="9" defaultRowHeight="13.5"/>
  <cols>
    <col min="1" max="1" width="50" style="1" customWidth="1"/>
    <col min="2" max="3" width="20" style="1" customWidth="1"/>
    <col min="4" max="5" width="15" style="1" customWidth="1"/>
    <col min="6" max="6" width="10" style="1" customWidth="1"/>
    <col min="7" max="9" width="15" style="1" customWidth="1"/>
    <col min="10" max="16384" width="9" style="1"/>
  </cols>
  <sheetData>
    <row r="1" ht="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78" customHeight="1" spans="1:9">
      <c r="A2" s="3" t="s">
        <v>9</v>
      </c>
      <c r="B2" s="4" t="s">
        <v>10</v>
      </c>
      <c r="D2" s="5" t="s">
        <v>11</v>
      </c>
      <c r="E2" s="6">
        <v>5</v>
      </c>
      <c r="F2" s="7" t="str">
        <f>_xlfn.DISPIMG("ID_BFF26B7CE2904546AB3F84E8E45716AF",1)</f>
        <v>=DISPIMG("ID_BFF26B7CE2904546AB3F84E8E45716AF",1)</v>
      </c>
      <c r="G2" s="6">
        <v>6</v>
      </c>
      <c r="H2" s="6">
        <v>6</v>
      </c>
      <c r="I2" s="8" t="s">
        <v>12</v>
      </c>
    </row>
    <row r="3" ht="78" customHeight="1" spans="1:9">
      <c r="A3" s="9" t="s">
        <v>9</v>
      </c>
      <c r="D3" s="10" t="s">
        <v>11</v>
      </c>
      <c r="E3" s="11">
        <v>5</v>
      </c>
      <c r="F3" s="11" t="str">
        <f>_xlfn.DISPIMG("ID_250DCBF4E6F14478A426094BE763881E",1)</f>
        <v>=DISPIMG("ID_250DCBF4E6F14478A426094BE763881E",1)</v>
      </c>
      <c r="G3" s="11">
        <v>6</v>
      </c>
      <c r="H3" s="11">
        <v>6</v>
      </c>
      <c r="I3" s="12" t="s">
        <v>13</v>
      </c>
    </row>
    <row r="4" ht="81" spans="1:9">
      <c r="A4" s="13" t="s">
        <v>9</v>
      </c>
      <c r="D4" s="10" t="s">
        <v>11</v>
      </c>
      <c r="E4" s="11">
        <v>5</v>
      </c>
      <c r="F4" s="11" t="str">
        <f>_xlfn.DISPIMG("ID_5063786BEA3441C886A4B3BB324BDB50",1)</f>
        <v>=DISPIMG("ID_5063786BEA3441C886A4B3BB324BDB50",1)</v>
      </c>
      <c r="G4" s="11">
        <v>6</v>
      </c>
      <c r="H4" s="11">
        <v>6</v>
      </c>
      <c r="I4" s="12" t="s">
        <v>14</v>
      </c>
    </row>
    <row r="5" ht="81" spans="1:9">
      <c r="A5" s="13" t="s">
        <v>9</v>
      </c>
      <c r="D5" s="10" t="s">
        <v>11</v>
      </c>
      <c r="E5" s="11">
        <v>5</v>
      </c>
      <c r="F5" s="11" t="str">
        <f>_xlfn.DISPIMG("ID_D416455AB83C4EB0861F99FBAABADE77",1)</f>
        <v>=DISPIMG("ID_D416455AB83C4EB0861F99FBAABADE77",1)</v>
      </c>
      <c r="G5" s="11">
        <v>6</v>
      </c>
      <c r="H5" s="11">
        <v>6</v>
      </c>
      <c r="I5" s="12" t="s">
        <v>15</v>
      </c>
    </row>
    <row r="6" ht="81" spans="1:9">
      <c r="A6" s="13" t="s">
        <v>9</v>
      </c>
      <c r="D6" s="10" t="s">
        <v>11</v>
      </c>
      <c r="E6" s="11">
        <v>5</v>
      </c>
      <c r="F6" s="11" t="str">
        <f>_xlfn.DISPIMG("ID_5600B564263B454C9ED7939D5D17F81E",1)</f>
        <v>=DISPIMG("ID_5600B564263B454C9ED7939D5D17F81E",1)</v>
      </c>
      <c r="G6" s="11">
        <v>6</v>
      </c>
      <c r="H6" s="11">
        <v>6</v>
      </c>
      <c r="I6" s="12" t="s">
        <v>16</v>
      </c>
    </row>
    <row r="7" ht="81" spans="1:9">
      <c r="A7" s="13" t="s">
        <v>9</v>
      </c>
      <c r="D7" s="10" t="s">
        <v>11</v>
      </c>
      <c r="E7" s="11">
        <v>5</v>
      </c>
      <c r="F7" s="11" t="str">
        <f>_xlfn.DISPIMG("ID_1753F01D7FA24F7DBC4CA886E32B482F",1)</f>
        <v>=DISPIMG("ID_1753F01D7FA24F7DBC4CA886E32B482F",1)</v>
      </c>
      <c r="G7" s="11">
        <v>6</v>
      </c>
      <c r="H7" s="11">
        <v>6</v>
      </c>
      <c r="I7" s="12" t="s">
        <v>17</v>
      </c>
    </row>
    <row r="8" ht="81" spans="1:9">
      <c r="A8" s="13" t="s">
        <v>9</v>
      </c>
      <c r="D8" s="10" t="s">
        <v>11</v>
      </c>
      <c r="E8" s="11">
        <v>5</v>
      </c>
      <c r="F8" s="11" t="str">
        <f>_xlfn.DISPIMG("ID_DF27B531051D465AA3B6880C33894981",1)</f>
        <v>=DISPIMG("ID_DF27B531051D465AA3B6880C33894981",1)</v>
      </c>
      <c r="G8" s="11">
        <v>6</v>
      </c>
      <c r="H8" s="11">
        <v>6</v>
      </c>
      <c r="I8" s="12" t="s">
        <v>18</v>
      </c>
    </row>
    <row r="9" ht="81" spans="1:9">
      <c r="A9" s="14" t="s">
        <v>9</v>
      </c>
      <c r="D9" s="5" t="s">
        <v>11</v>
      </c>
      <c r="E9" s="6">
        <v>5</v>
      </c>
      <c r="F9" s="6" t="str">
        <f>_xlfn.DISPIMG("ID_0BC83023111D42CBBAC9D76766BADC21",1)</f>
        <v>=DISPIMG("ID_0BC83023111D42CBBAC9D76766BADC21",1)</v>
      </c>
      <c r="G9" s="6">
        <v>6</v>
      </c>
      <c r="H9" s="6">
        <v>6</v>
      </c>
      <c r="I9" s="8" t="s">
        <v>19</v>
      </c>
    </row>
    <row r="10" ht="81" spans="1:9">
      <c r="A10" s="13" t="s">
        <v>9</v>
      </c>
      <c r="D10" s="10" t="s">
        <v>11</v>
      </c>
      <c r="E10" s="11">
        <v>5</v>
      </c>
      <c r="F10" s="11" t="str">
        <f>_xlfn.DISPIMG("ID_78F1AB941DA54CBF8ED8F5F48F415B15",1)</f>
        <v>=DISPIMG("ID_78F1AB941DA54CBF8ED8F5F48F415B15",1)</v>
      </c>
      <c r="G10" s="11">
        <v>6</v>
      </c>
      <c r="H10" s="11">
        <v>6</v>
      </c>
      <c r="I10" s="12" t="s">
        <v>20</v>
      </c>
    </row>
    <row r="11" ht="81" spans="1:9">
      <c r="A11" s="13" t="s">
        <v>9</v>
      </c>
      <c r="D11" s="10" t="s">
        <v>11</v>
      </c>
      <c r="E11" s="11">
        <v>5</v>
      </c>
      <c r="F11" s="11" t="str">
        <f>_xlfn.DISPIMG("ID_650C593D3E2F436A95ED89CF3FB84412",1)</f>
        <v>=DISPIMG("ID_650C593D3E2F436A95ED89CF3FB84412",1)</v>
      </c>
      <c r="G11" s="11">
        <v>6</v>
      </c>
      <c r="H11" s="11">
        <v>6</v>
      </c>
      <c r="I11" s="12" t="s">
        <v>21</v>
      </c>
    </row>
    <row r="12" ht="81" spans="1:9">
      <c r="A12" s="13" t="s">
        <v>9</v>
      </c>
      <c r="D12" s="10" t="s">
        <v>11</v>
      </c>
      <c r="E12" s="11">
        <v>5</v>
      </c>
      <c r="F12" s="11" t="str">
        <f>_xlfn.DISPIMG("ID_5AE843020A6B4BE18C21F96959521D8D",1)</f>
        <v>=DISPIMG("ID_5AE843020A6B4BE18C21F96959521D8D",1)</v>
      </c>
      <c r="G12" s="11">
        <v>6</v>
      </c>
      <c r="H12" s="11">
        <v>6</v>
      </c>
      <c r="I12" s="12" t="s">
        <v>22</v>
      </c>
    </row>
    <row r="13" ht="81" spans="1:9">
      <c r="A13" s="13" t="s">
        <v>9</v>
      </c>
      <c r="D13" s="10" t="s">
        <v>11</v>
      </c>
      <c r="E13" s="11">
        <v>5</v>
      </c>
      <c r="F13" s="11" t="str">
        <f>_xlfn.DISPIMG("ID_9C92F06C67AD46D188E3CE9FD76AD348",1)</f>
        <v>=DISPIMG("ID_9C92F06C67AD46D188E3CE9FD76AD348",1)</v>
      </c>
      <c r="G13" s="11">
        <v>6</v>
      </c>
      <c r="H13" s="11">
        <v>6</v>
      </c>
      <c r="I13" s="12" t="s">
        <v>23</v>
      </c>
    </row>
    <row r="14" ht="81" spans="1:9">
      <c r="A14" s="13" t="s">
        <v>9</v>
      </c>
      <c r="D14" s="10" t="s">
        <v>11</v>
      </c>
      <c r="E14" s="11">
        <v>5</v>
      </c>
      <c r="F14" s="11" t="str">
        <f>_xlfn.DISPIMG("ID_0B3536A1AEBC4353B0AD6AFE29FAC4E1",1)</f>
        <v>=DISPIMG("ID_0B3536A1AEBC4353B0AD6AFE29FAC4E1",1)</v>
      </c>
      <c r="G14" s="11">
        <v>6</v>
      </c>
      <c r="H14" s="11">
        <v>6</v>
      </c>
      <c r="I14" s="12" t="s">
        <v>24</v>
      </c>
    </row>
    <row r="15" ht="81" spans="1:9">
      <c r="A15" s="13" t="s">
        <v>9</v>
      </c>
      <c r="D15" s="10" t="s">
        <v>11</v>
      </c>
      <c r="E15" s="11">
        <v>5</v>
      </c>
      <c r="F15" s="11" t="str">
        <f>_xlfn.DISPIMG("ID_840708579EE645EDAA53139A488D8634",1)</f>
        <v>=DISPIMG("ID_840708579EE645EDAA53139A488D8634",1)</v>
      </c>
      <c r="G15" s="11">
        <v>6</v>
      </c>
      <c r="H15" s="11">
        <v>6</v>
      </c>
      <c r="I15" s="12" t="s">
        <v>25</v>
      </c>
    </row>
    <row r="16" ht="81" spans="1:9">
      <c r="A16" s="13" t="s">
        <v>9</v>
      </c>
      <c r="D16" s="10" t="s">
        <v>11</v>
      </c>
      <c r="E16" s="11">
        <v>5</v>
      </c>
      <c r="F16" s="11" t="str">
        <f>_xlfn.DISPIMG("ID_BFB60214576E42B7B7C14421562079A5",1)</f>
        <v>=DISPIMG("ID_BFB60214576E42B7B7C14421562079A5",1)</v>
      </c>
      <c r="G16" s="11">
        <v>6</v>
      </c>
      <c r="H16" s="11">
        <v>6</v>
      </c>
      <c r="I16" s="12" t="s">
        <v>26</v>
      </c>
    </row>
    <row r="17" ht="81" spans="1:9">
      <c r="A17" s="13" t="s">
        <v>9</v>
      </c>
      <c r="D17" s="10" t="s">
        <v>11</v>
      </c>
      <c r="E17" s="11">
        <v>5</v>
      </c>
      <c r="F17" s="11" t="str">
        <f>_xlfn.DISPIMG("ID_93C43BA515504D0D91BE4428523EBDA4",1)</f>
        <v>=DISPIMG("ID_93C43BA515504D0D91BE4428523EBDA4",1)</v>
      </c>
      <c r="G17" s="11">
        <v>6</v>
      </c>
      <c r="H17" s="11">
        <v>6</v>
      </c>
      <c r="I17" s="12" t="s">
        <v>27</v>
      </c>
    </row>
    <row r="18" ht="81" spans="1:9">
      <c r="A18" s="13" t="s">
        <v>9</v>
      </c>
      <c r="D18" s="10" t="s">
        <v>11</v>
      </c>
      <c r="E18" s="11">
        <v>5</v>
      </c>
      <c r="F18" s="11" t="str">
        <f>_xlfn.DISPIMG("ID_C0686D61969644A5A6ADC185C4400CC5",1)</f>
        <v>=DISPIMG("ID_C0686D61969644A5A6ADC185C4400CC5",1)</v>
      </c>
      <c r="G18" s="11">
        <v>6</v>
      </c>
      <c r="H18" s="11">
        <v>6</v>
      </c>
      <c r="I18" s="12" t="s">
        <v>28</v>
      </c>
    </row>
    <row r="19" ht="81" spans="1:9">
      <c r="A19" s="13" t="s">
        <v>9</v>
      </c>
      <c r="D19" s="10" t="s">
        <v>11</v>
      </c>
      <c r="E19" s="11">
        <v>5</v>
      </c>
      <c r="F19" s="11" t="str">
        <f>_xlfn.DISPIMG("ID_6027B4F563874AAA854925BB01839763",1)</f>
        <v>=DISPIMG("ID_6027B4F563874AAA854925BB01839763",1)</v>
      </c>
      <c r="G19" s="11">
        <v>6</v>
      </c>
      <c r="H19" s="11">
        <v>6</v>
      </c>
      <c r="I19" s="12" t="s">
        <v>29</v>
      </c>
    </row>
    <row r="20" ht="81" spans="1:9">
      <c r="A20" s="13" t="s">
        <v>9</v>
      </c>
      <c r="D20" s="10" t="s">
        <v>11</v>
      </c>
      <c r="E20" s="11">
        <v>5</v>
      </c>
      <c r="F20" s="11" t="str">
        <f>_xlfn.DISPIMG("ID_A42B06C370674996BBB34FCC911C80E7",1)</f>
        <v>=DISPIMG("ID_A42B06C370674996BBB34FCC911C80E7",1)</v>
      </c>
      <c r="G20" s="11">
        <v>6</v>
      </c>
      <c r="H20" s="11">
        <v>6</v>
      </c>
      <c r="I20" s="12" t="s">
        <v>30</v>
      </c>
    </row>
    <row r="21" ht="81" spans="1:9">
      <c r="A21" s="13" t="s">
        <v>9</v>
      </c>
      <c r="D21" s="10" t="s">
        <v>11</v>
      </c>
      <c r="E21" s="11">
        <v>5</v>
      </c>
      <c r="F21" s="11" t="str">
        <f>_xlfn.DISPIMG("ID_A8EEE58FAEE840E68B18129E7842D1EB",1)</f>
        <v>=DISPIMG("ID_A8EEE58FAEE840E68B18129E7842D1EB",1)</v>
      </c>
      <c r="G21" s="11">
        <v>6</v>
      </c>
      <c r="H21" s="11">
        <v>6</v>
      </c>
      <c r="I21" s="12" t="s">
        <v>31</v>
      </c>
    </row>
    <row r="22" ht="81" spans="1:9">
      <c r="A22" s="14" t="s">
        <v>9</v>
      </c>
      <c r="D22" s="5" t="s">
        <v>11</v>
      </c>
      <c r="E22" s="6">
        <v>5</v>
      </c>
      <c r="F22" s="15" t="str">
        <f>_xlfn.DISPIMG("ID_1BBB7A55BCE74D60BF3754FE180832D9",1)</f>
        <v>=DISPIMG("ID_1BBB7A55BCE74D60BF3754FE180832D9",1)</v>
      </c>
      <c r="G22" s="6">
        <v>6</v>
      </c>
      <c r="H22" s="6">
        <v>6</v>
      </c>
      <c r="I22" s="8" t="s">
        <v>32</v>
      </c>
    </row>
    <row r="23" ht="81" spans="1:9">
      <c r="A23" s="14" t="s">
        <v>9</v>
      </c>
      <c r="D23" s="5" t="s">
        <v>11</v>
      </c>
      <c r="E23" s="6">
        <v>5</v>
      </c>
      <c r="F23" s="15" t="str">
        <f>_xlfn.DISPIMG("ID_51AA5BF207A74859A8A6260D3B0B271F",1)</f>
        <v>=DISPIMG("ID_51AA5BF207A74859A8A6260D3B0B271F",1)</v>
      </c>
      <c r="G23" s="6">
        <v>6</v>
      </c>
      <c r="H23" s="6">
        <v>6</v>
      </c>
      <c r="I23" s="8" t="s">
        <v>33</v>
      </c>
    </row>
    <row r="24" ht="81" spans="1:9">
      <c r="A24" s="14" t="s">
        <v>9</v>
      </c>
      <c r="D24" s="5" t="s">
        <v>11</v>
      </c>
      <c r="E24" s="6">
        <v>5</v>
      </c>
      <c r="F24" s="15" t="str">
        <f>_xlfn.DISPIMG("ID_680EF99FD75247C7AC276F7F903A3E56",1)</f>
        <v>=DISPIMG("ID_680EF99FD75247C7AC276F7F903A3E56",1)</v>
      </c>
      <c r="G24" s="6">
        <v>6</v>
      </c>
      <c r="H24" s="6">
        <v>6</v>
      </c>
      <c r="I24" s="8" t="s">
        <v>34</v>
      </c>
    </row>
    <row r="25" ht="81" spans="1:9">
      <c r="A25" s="14" t="s">
        <v>9</v>
      </c>
      <c r="D25" s="5" t="s">
        <v>11</v>
      </c>
      <c r="E25" s="6">
        <v>5</v>
      </c>
      <c r="F25" s="15" t="str">
        <f>_xlfn.DISPIMG("ID_26116873F09A419586E49DE1C1BAA16A",1)</f>
        <v>=DISPIMG("ID_26116873F09A419586E49DE1C1BAA16A",1)</v>
      </c>
      <c r="G25" s="6">
        <v>6</v>
      </c>
      <c r="H25" s="6">
        <v>6</v>
      </c>
      <c r="I25" s="8" t="s">
        <v>35</v>
      </c>
    </row>
    <row r="26" ht="81" spans="1:9">
      <c r="A26" s="14" t="s">
        <v>9</v>
      </c>
      <c r="D26" s="5" t="s">
        <v>11</v>
      </c>
      <c r="E26" s="6">
        <v>5</v>
      </c>
      <c r="F26" s="15" t="str">
        <f>_xlfn.DISPIMG("ID_366339E30316472DA6933D87A2EFEACE",1)</f>
        <v>=DISPIMG("ID_366339E30316472DA6933D87A2EFEACE",1)</v>
      </c>
      <c r="G26" s="6">
        <v>6</v>
      </c>
      <c r="H26" s="6">
        <v>6</v>
      </c>
      <c r="I26" s="8" t="s">
        <v>36</v>
      </c>
    </row>
    <row r="27" ht="81" spans="1:9">
      <c r="A27" s="14" t="s">
        <v>9</v>
      </c>
      <c r="D27" s="5" t="s">
        <v>11</v>
      </c>
      <c r="E27" s="6">
        <v>5</v>
      </c>
      <c r="F27" s="15" t="str">
        <f>_xlfn.DISPIMG("ID_BA207ECDF2234419B20753856D70302D",1)</f>
        <v>=DISPIMG("ID_BA207ECDF2234419B20753856D70302D",1)</v>
      </c>
      <c r="G27" s="6">
        <v>6</v>
      </c>
      <c r="H27" s="6">
        <v>6</v>
      </c>
      <c r="I27" s="8" t="s">
        <v>37</v>
      </c>
    </row>
    <row r="28" ht="81" spans="1:9">
      <c r="A28" s="14" t="s">
        <v>9</v>
      </c>
      <c r="D28" s="5" t="s">
        <v>11</v>
      </c>
      <c r="E28" s="6">
        <v>5</v>
      </c>
      <c r="F28" s="15" t="str">
        <f>_xlfn.DISPIMG("ID_14580698E5D941E2A52EC9D983042FE2",1)</f>
        <v>=DISPIMG("ID_14580698E5D941E2A52EC9D983042FE2",1)</v>
      </c>
      <c r="G28" s="6">
        <v>6</v>
      </c>
      <c r="H28" s="6">
        <v>6</v>
      </c>
      <c r="I28" s="8" t="s">
        <v>38</v>
      </c>
    </row>
    <row r="29" ht="81" spans="1:9">
      <c r="A29" s="14" t="s">
        <v>9</v>
      </c>
      <c r="D29" s="5" t="s">
        <v>11</v>
      </c>
      <c r="E29" s="6">
        <v>5</v>
      </c>
      <c r="F29" s="15" t="str">
        <f>_xlfn.DISPIMG("ID_6E523D11196B4234B958994FD93E6BD1",1)</f>
        <v>=DISPIMG("ID_6E523D11196B4234B958994FD93E6BD1",1)</v>
      </c>
      <c r="G29" s="6">
        <v>6</v>
      </c>
      <c r="H29" s="6">
        <v>6</v>
      </c>
      <c r="I29" s="8" t="s">
        <v>39</v>
      </c>
    </row>
    <row r="30" ht="81" spans="1:9">
      <c r="A30" s="14" t="s">
        <v>9</v>
      </c>
      <c r="D30" s="5" t="s">
        <v>11</v>
      </c>
      <c r="E30" s="6">
        <v>5</v>
      </c>
      <c r="F30" s="15" t="str">
        <f>_xlfn.DISPIMG("ID_639A902DE7204829AFA427BBEC86E8ED",1)</f>
        <v>=DISPIMG("ID_639A902DE7204829AFA427BBEC86E8ED",1)</v>
      </c>
      <c r="G30" s="6">
        <v>6</v>
      </c>
      <c r="H30" s="6">
        <v>6</v>
      </c>
      <c r="I30" s="8" t="s">
        <v>40</v>
      </c>
    </row>
    <row r="31" ht="81" spans="1:9">
      <c r="A31" s="14" t="s">
        <v>9</v>
      </c>
      <c r="D31" s="5" t="s">
        <v>11</v>
      </c>
      <c r="E31" s="6">
        <v>5</v>
      </c>
      <c r="F31" s="15" t="str">
        <f>_xlfn.DISPIMG("ID_C8A86C3BED89407F9B726BD03DB1FCBA",1)</f>
        <v>=DISPIMG("ID_C8A86C3BED89407F9B726BD03DB1FCBA",1)</v>
      </c>
      <c r="G31" s="6">
        <v>6</v>
      </c>
      <c r="H31" s="6">
        <v>6</v>
      </c>
      <c r="I31" s="8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7-9六宫大小数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SY三生石畔</cp:lastModifiedBy>
  <dcterms:created xsi:type="dcterms:W3CDTF">2026-04-02T01:29:34Z</dcterms:created>
  <dcterms:modified xsi:type="dcterms:W3CDTF">2026-04-02T01:29:35Z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467C7944CB334DF39096E13EAE1ADC16_11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