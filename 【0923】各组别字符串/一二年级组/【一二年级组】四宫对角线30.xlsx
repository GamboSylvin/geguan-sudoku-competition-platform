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3-6岁组四宫对角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61" name="ID_09740A879BA8471497AF88883E3D0F18" descr="8 (1)"/>
        <xdr:cNvPicPr/>
      </xdr:nvPicPr>
      <xdr:blipFill>
        <a:blip r:embed="rId1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90" name="ID_FAB83549B55849B6AB8C33167C64CD20" descr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48425" y="2035175"/>
          <a:ext cx="2924810" cy="2931160"/>
        </a:xfrm>
        <a:prstGeom prst="rect">
          <a:avLst/>
        </a:prstGeom>
      </xdr:spPr>
    </xdr:pic>
  </etc:cellImage>
  <etc:cellImage>
    <xdr:pic>
      <xdr:nvPicPr>
        <xdr:cNvPr id="157" name="ID_76B1A5592D184317A3932539E1E30D7B" descr="4 (1)"/>
        <xdr:cNvPicPr/>
      </xdr:nvPicPr>
      <xdr:blipFill>
        <a:blip r:embed="rId3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54" name="ID_29EF7774EC7042B89592A524BEB7B90A" descr="1 (1)"/>
        <xdr:cNvPicPr/>
      </xdr:nvPicPr>
      <xdr:blipFill>
        <a:blip r:embed="rId4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09" name="ID_55AEE02E7A5F4E05987CD8FA37708122" descr="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448425" y="9661525"/>
          <a:ext cx="3695700" cy="3695700"/>
        </a:xfrm>
        <a:prstGeom prst="rect">
          <a:avLst/>
        </a:prstGeom>
      </xdr:spPr>
    </xdr:pic>
  </etc:cellImage>
  <etc:cellImage>
    <xdr:pic>
      <xdr:nvPicPr>
        <xdr:cNvPr id="159" name="ID_1777DFB0A4BC44539DAB94E844419E68" descr="6 (1)"/>
        <xdr:cNvPicPr/>
      </xdr:nvPicPr>
      <xdr:blipFill>
        <a:blip r:embed="rId6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55" name="ID_40864C77404B4CC7A9AE9E90653D5503" descr="2"/>
        <xdr:cNvPicPr/>
      </xdr:nvPicPr>
      <xdr:blipFill>
        <a:blip r:embed="rId7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60" name="ID_ACA3DFA671884EAFBE2847991CF852E8" descr="7 (1)"/>
        <xdr:cNvPicPr/>
      </xdr:nvPicPr>
      <xdr:blipFill>
        <a:blip r:embed="rId8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58" name="ID_6B72FCD7327E413590FDBE9FB24D9134" descr="5 (1)"/>
        <xdr:cNvPicPr/>
      </xdr:nvPicPr>
      <xdr:blipFill>
        <a:blip r:embed="rId9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56" name="ID_4ECBBE347DF94ACB89EE2AD30476A007" descr="3 (1)"/>
        <xdr:cNvPicPr/>
      </xdr:nvPicPr>
      <xdr:blipFill>
        <a:blip r:embed="rId10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62" name="ID_52A0E5ECC3A5411988EC2FE7147F4C74" descr="9 (1)"/>
        <xdr:cNvPicPr/>
      </xdr:nvPicPr>
      <xdr:blipFill>
        <a:blip r:embed="rId11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63" name="ID_F67780A5B88245FEAA8FAFC73CFAC6E2" descr="10 (1)"/>
        <xdr:cNvPicPr/>
      </xdr:nvPicPr>
      <xdr:blipFill>
        <a:blip r:embed="rId12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64" name="ID_2A07C542237E44279F4237B9377BE7AD" descr="11"/>
        <xdr:cNvPicPr/>
      </xdr:nvPicPr>
      <xdr:blipFill>
        <a:blip r:embed="rId13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65" name="ID_937B7643C4984EFF84A709CFDF41838F" descr="12"/>
        <xdr:cNvPicPr/>
      </xdr:nvPicPr>
      <xdr:blipFill>
        <a:blip r:embed="rId14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66" name="ID_FB93118A17AC433DB75D83E7A7F0FB45" descr="13"/>
        <xdr:cNvPicPr/>
      </xdr:nvPicPr>
      <xdr:blipFill>
        <a:blip r:embed="rId15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67" name="ID_B5927AE35E6F48FFB396C19B588128EC" descr="14"/>
        <xdr:cNvPicPr/>
      </xdr:nvPicPr>
      <xdr:blipFill>
        <a:blip r:embed="rId16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68" name="ID_FA6BC4AD1FB442A59B3D5B1E2D72F360" descr="15"/>
        <xdr:cNvPicPr/>
      </xdr:nvPicPr>
      <xdr:blipFill>
        <a:blip r:embed="rId17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69" name="ID_2F5DE8A1EC3441C8999B56492E668FAE" descr="16"/>
        <xdr:cNvPicPr/>
      </xdr:nvPicPr>
      <xdr:blipFill>
        <a:blip r:embed="rId18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70" name="ID_895772680E05471CB3ABFC7A6BACD007" descr="17"/>
        <xdr:cNvPicPr/>
      </xdr:nvPicPr>
      <xdr:blipFill>
        <a:blip r:embed="rId19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71" name="ID_599525D9903C4DE6A288172ABA5DCCE2" descr="18"/>
        <xdr:cNvPicPr/>
      </xdr:nvPicPr>
      <xdr:blipFill>
        <a:blip r:embed="rId20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73" name="ID_B56A152789774DA4A729A0CF796D926D" descr="19"/>
        <xdr:cNvPicPr/>
      </xdr:nvPicPr>
      <xdr:blipFill>
        <a:blip r:embed="rId21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74" name="ID_09D018F784FD4115B3DF16E4662EBAED" descr="20"/>
        <xdr:cNvPicPr/>
      </xdr:nvPicPr>
      <xdr:blipFill>
        <a:blip r:embed="rId22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89" name="ID_345177AAF69244CEB0EBAD900E428B09" descr="2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448425" y="3946525"/>
          <a:ext cx="3695700" cy="3695700"/>
        </a:xfrm>
        <a:prstGeom prst="rect">
          <a:avLst/>
        </a:prstGeom>
      </xdr:spPr>
    </xdr:pic>
  </etc:cellImage>
  <etc:cellImage>
    <xdr:pic>
      <xdr:nvPicPr>
        <xdr:cNvPr id="106" name="ID_186B96CB1B794667B9094BD489F3B823" descr="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448425" y="5851525"/>
          <a:ext cx="3695700" cy="3695700"/>
        </a:xfrm>
        <a:prstGeom prst="rect">
          <a:avLst/>
        </a:prstGeom>
      </xdr:spPr>
    </xdr:pic>
  </etc:cellImage>
  <etc:cellImage>
    <xdr:pic>
      <xdr:nvPicPr>
        <xdr:cNvPr id="105" name="ID_DEC0FBCD5EED4DB5B03478DB354A0136" descr="4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448425" y="7756525"/>
          <a:ext cx="3695700" cy="3695700"/>
        </a:xfrm>
        <a:prstGeom prst="rect">
          <a:avLst/>
        </a:prstGeom>
      </xdr:spPr>
    </xdr:pic>
  </etc:cellImage>
  <etc:cellImage>
    <xdr:pic>
      <xdr:nvPicPr>
        <xdr:cNvPr id="108" name="ID_975B16BB4B524287BDFDAA28DEAFDDC5" descr="8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6448425" y="11566525"/>
          <a:ext cx="3695700" cy="3695700"/>
        </a:xfrm>
        <a:prstGeom prst="rect">
          <a:avLst/>
        </a:prstGeom>
      </xdr:spPr>
    </xdr:pic>
  </etc:cellImage>
  <etc:cellImage>
    <xdr:pic>
      <xdr:nvPicPr>
        <xdr:cNvPr id="107" name="ID_EC05B4C7F10747C2BBEC399C9D1C6FF3" descr="9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6448425" y="13471525"/>
          <a:ext cx="3695700" cy="3695700"/>
        </a:xfrm>
        <a:prstGeom prst="rect">
          <a:avLst/>
        </a:prstGeom>
      </xdr:spPr>
    </xdr:pic>
  </etc:cellImage>
  <etc:cellImage>
    <xdr:pic>
      <xdr:nvPicPr>
        <xdr:cNvPr id="113" name="ID_4DC72CE6C0D34F03B091795F8201D8FB" descr="10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6448425" y="15376525"/>
          <a:ext cx="3695700" cy="3695700"/>
        </a:xfrm>
        <a:prstGeom prst="rect">
          <a:avLst/>
        </a:prstGeom>
      </xdr:spPr>
    </xdr:pic>
  </etc:cellImage>
  <etc:cellImage>
    <xdr:pic>
      <xdr:nvPicPr>
        <xdr:cNvPr id="111" name="ID_F3FFE40EF793478C877FF1E2B2882949" descr="5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448425" y="15376525"/>
          <a:ext cx="3695700" cy="3695700"/>
        </a:xfrm>
        <a:prstGeom prst="rect">
          <a:avLst/>
        </a:prstGeom>
      </xdr:spPr>
    </xdr:pic>
  </etc:cellImage>
  <etc:cellImage>
    <xdr:pic>
      <xdr:nvPicPr>
        <xdr:cNvPr id="112" name="ID_9716A2CA3A8C40F697ED0637E4FA4491" descr="6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6448425" y="17281525"/>
          <a:ext cx="3695700" cy="36957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<sst xmlns="http://schemas.openxmlformats.org/spreadsheetml/2006/main" count="130" uniqueCount="43">
  <si>
    <t>题目</t>
  </si>
  <si>
    <t>题目配图</t>
  </si>
  <si>
    <t>题目音频</t>
  </si>
  <si>
    <t>*类目</t>
  </si>
  <si>
    <t>*分数</t>
  </si>
  <si>
    <t>*数独底图</t>
  </si>
  <si>
    <t>*水平长度</t>
  </si>
  <si>
    <t>*垂直长度</t>
  </si>
  <si>
    <t>*正确答案</t>
  </si>
  <si>
    <t>将数字1-4填入空格内，使每行、每列、每宫以及两条对角线上的数字均不重复。</t>
  </si>
  <si>
    <t/>
  </si>
  <si>
    <t>四宫对角线数独</t>
  </si>
  <si>
    <t>5</t>
  </si>
  <si>
    <t>[3,,4,2],
[,4,1,],
[1,3,2,4],
[4,,3,1]</t>
  </si>
  <si>
    <t>[2,4,,3],
[,3,2,],
[3,1,4,2],
[4,2,,1]</t>
  </si>
  <si>
    <t>[4,1,,3],
[,2,1,4],
[,4,3,2],
[2,3,,1]</t>
  </si>
  <si>
    <t>[3,,2,1],
[2,1,,4],
[,2,4,3],
[4,3,1,2]</t>
  </si>
  <si>
    <t>[4,,2,3],
[3,2,1,],
[1,4,3,],
[2,,4,1]</t>
  </si>
  <si>
    <t>[1,,2,4],
[4,2,3,],
[3,1,4,2],
[2,,1,3]</t>
  </si>
  <si>
    <t>[,4,1,3],
[3,1,,2],
[4,2,3,1],
[1,,2,4]</t>
  </si>
  <si>
    <t>[3,1,2,4],
[2,4,3,],
[4,,1,3],
[1,3,,2]</t>
  </si>
  <si>
    <t>[3,2,,1],
[4,1,3,2],
[1,4,2,],
[2,3,,4]</t>
  </si>
  <si>
    <t>[4,,3,1],
[,1,4,2],
[1,3,2,4],
[2,,1,3]</t>
  </si>
  <si>
    <t>[3,1,4,2],
[4,2,3,],
[2,,1,3],
[1,3,,4]</t>
  </si>
  <si>
    <t>[2,1,,4],
[,3,1,2],
[1,2,4,3],
[3,4,2,]</t>
  </si>
  <si>
    <t>[4,,1,2],
[1,2,,3],
[,1,3,4],
[3,4,2,1]</t>
  </si>
  <si>
    <t>[3,4,1,2],
[1,2,3,],
[2,,4,3],
[4,3,,1]</t>
  </si>
  <si>
    <t>[2,,4,1],
[4,1,2,3],
[1,,3,2],
[3,2,,4]</t>
  </si>
  <si>
    <t>[4,1,2,3],
[,3,4,],
[3,2,1,4],
[1,,3,2]</t>
  </si>
  <si>
    <t>[1,3,,2],
[2,4,3,],
[3,1,2,4],
[4,2,1,]</t>
  </si>
  <si>
    <t>[1,,4,],
[4,2,1,3],
[2,4,3,1],
[3,,2,]</t>
  </si>
  <si>
    <t>[3,2,,4],
[,1,2,3],
[2,3,4,1],
[1,4,3,]</t>
  </si>
  <si>
    <t>[2,1,3,4],
[3,4,2,],
[4,,1,2],
[1,2,,3]</t>
  </si>
  <si>
    <t>[1,2,,3],
[,4,2,],
[2,1,3,4],
[4,3,,2]</t>
  </si>
  <si>
    <t>[3,,4,2],
[4,2,,1],
[2,,1,3],
[1,3,,4]</t>
  </si>
  <si>
    <t>[1,2,4,3],
[3,4,2,1],
[,1,3,],
[4,,,2]</t>
  </si>
  <si>
    <t>[4,,,3],
[1,3,4,2],
[,1,2,],
[2,4,3,1]</t>
  </si>
  <si>
    <t>[2,,,4],
[,1,3,],
[3,2,4,1],
[1,4,2,3]</t>
  </si>
  <si>
    <t>[3,,4,],
[4,2,3,1],
[2,4,1,3],
[1,,2,]</t>
  </si>
  <si>
    <t>[1,,3,4],
[4,3,2,],
[2,1,4,],
[3,,1,2]</t>
  </si>
  <si>
    <t>[2,3,,4],
[,1,3,],
[3,2,4,1],
[1,4,,3]</t>
  </si>
  <si>
    <t>[4,,,3],
[2,3,4,1],
[,2,1,],
[1,4,3,2]</t>
  </si>
  <si>
    <t>[4,3,1,2],
[1,2,4,],
[2,,3,4],
[3,4,,1]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</si>
</sst>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L4" sqref="L4"/>
    </sheetView>
  </sheetViews>
  <sheetFormatPr defaultColWidth="9" defaultRowHeight="13.5"/>
  <cols>
    <col min="1" max="1" width="50" style="1" customWidth="1"/>
    <col min="2" max="3" width="20" style="1" customWidth="1"/>
    <col min="4" max="5" width="15" style="1" customWidth="1"/>
    <col min="6" max="6" width="10" style="1" customWidth="1"/>
    <col min="7" max="9" width="15" style="1" customWidth="1"/>
    <col min="10" max="16384" width="9" style="1"/>
  </cols>
  <sheetData>
    <row r="1" ht="2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1" customFormat="1" ht="63" customHeight="1" spans="1:9">
      <c r="A2" s="3" t="s">
        <v>9</v>
      </c>
      <c r="B2" s="4" t="s">
        <v>10</v>
      </c>
      <c r="D2" s="5" t="s">
        <v>11</v>
      </c>
      <c r="E2" s="5" t="s">
        <v>12</v>
      </c>
      <c r="F2" s="6" t="str">
        <f>_xlfn.DISPIMG("ID_29EF7774EC7042B89592A524BEB7B90A",1)</f>
        <v>=DISPIMG("ID_29EF7774EC7042B89592A524BEB7B90A",1)</v>
      </c>
      <c r="G2" s="7">
        <v>4</v>
      </c>
      <c r="H2" s="7">
        <v>4</v>
      </c>
      <c r="I2" s="8" t="s">
        <v>13</v>
      </c>
    </row>
    <row r="3" ht="63" customHeight="1" spans="1:9">
      <c r="A3" s="3" t="s">
        <v>9</v>
      </c>
      <c r="D3" s="5" t="s">
        <v>11</v>
      </c>
      <c r="E3" s="5" t="s">
        <v>12</v>
      </c>
      <c r="F3" s="7" t="str">
        <f>_xlfn.DISPIMG("ID_40864C77404B4CC7A9AE9E90653D5503",1)</f>
        <v>=DISPIMG("ID_40864C77404B4CC7A9AE9E90653D5503",1)</v>
      </c>
      <c r="G3" s="7">
        <v>4</v>
      </c>
      <c r="H3" s="7">
        <v>4</v>
      </c>
      <c r="I3" s="8" t="s">
        <v>14</v>
      </c>
    </row>
    <row r="4" ht="63" customHeight="1" spans="1:9">
      <c r="A4" s="3" t="s">
        <v>9</v>
      </c>
      <c r="D4" s="5" t="s">
        <v>11</v>
      </c>
      <c r="E4" s="5" t="s">
        <v>12</v>
      </c>
      <c r="F4" s="7" t="str">
        <f>_xlfn.DISPIMG("ID_4ECBBE347DF94ACB89EE2AD30476A007",1)</f>
        <v>=DISPIMG("ID_4ECBBE347DF94ACB89EE2AD30476A007",1)</v>
      </c>
      <c r="G4" s="7">
        <v>4</v>
      </c>
      <c r="H4" s="7">
        <v>4</v>
      </c>
      <c r="I4" s="8" t="s">
        <v>15</v>
      </c>
    </row>
    <row r="5" ht="63" customHeight="1" spans="1:9">
      <c r="A5" s="3" t="s">
        <v>9</v>
      </c>
      <c r="D5" s="5" t="s">
        <v>11</v>
      </c>
      <c r="E5" s="5" t="s">
        <v>12</v>
      </c>
      <c r="F5" s="7" t="str">
        <f>_xlfn.DISPIMG("ID_76B1A5592D184317A3932539E1E30D7B",1)</f>
        <v>=DISPIMG("ID_76B1A5592D184317A3932539E1E30D7B",1)</v>
      </c>
      <c r="G5" s="7">
        <v>4</v>
      </c>
      <c r="H5" s="7">
        <v>4</v>
      </c>
      <c r="I5" s="8" t="s">
        <v>16</v>
      </c>
    </row>
    <row r="6" ht="63" customHeight="1" spans="1:9">
      <c r="A6" s="3" t="s">
        <v>9</v>
      </c>
      <c r="D6" s="5" t="s">
        <v>11</v>
      </c>
      <c r="E6" s="5" t="s">
        <v>12</v>
      </c>
      <c r="F6" s="7" t="str">
        <f>_xlfn.DISPIMG("ID_6B72FCD7327E413590FDBE9FB24D9134",1)</f>
        <v>=DISPIMG("ID_6B72FCD7327E413590FDBE9FB24D9134",1)</v>
      </c>
      <c r="G6" s="7">
        <v>4</v>
      </c>
      <c r="H6" s="7">
        <v>4</v>
      </c>
      <c r="I6" s="8" t="s">
        <v>17</v>
      </c>
    </row>
    <row r="7" ht="60" spans="1:9">
      <c r="A7" s="3" t="s">
        <v>9</v>
      </c>
      <c r="D7" s="5" t="s">
        <v>11</v>
      </c>
      <c r="E7" s="5" t="s">
        <v>12</v>
      </c>
      <c r="F7" s="7" t="str">
        <f>_xlfn.DISPIMG("ID_1777DFB0A4BC44539DAB94E844419E68",1)</f>
        <v>=DISPIMG("ID_1777DFB0A4BC44539DAB94E844419E68",1)</v>
      </c>
      <c r="G7" s="7">
        <v>4</v>
      </c>
      <c r="H7" s="7">
        <v>4</v>
      </c>
      <c r="I7" s="8" t="s">
        <v>18</v>
      </c>
    </row>
    <row r="8" ht="60" spans="1:9">
      <c r="A8" s="3" t="s">
        <v>9</v>
      </c>
      <c r="D8" s="5" t="s">
        <v>11</v>
      </c>
      <c r="E8" s="5" t="s">
        <v>12</v>
      </c>
      <c r="F8" s="7" t="str">
        <f>_xlfn.DISPIMG("ID_ACA3DFA671884EAFBE2847991CF852E8",1)</f>
        <v>=DISPIMG("ID_ACA3DFA671884EAFBE2847991CF852E8",1)</v>
      </c>
      <c r="G8" s="7">
        <v>4</v>
      </c>
      <c r="H8" s="7">
        <v>4</v>
      </c>
      <c r="I8" s="8" t="s">
        <v>19</v>
      </c>
    </row>
    <row r="9" ht="60" spans="1:9">
      <c r="A9" s="3" t="s">
        <v>9</v>
      </c>
      <c r="D9" s="5" t="s">
        <v>11</v>
      </c>
      <c r="E9" s="5" t="s">
        <v>12</v>
      </c>
      <c r="F9" s="7" t="str">
        <f>_xlfn.DISPIMG("ID_09740A879BA8471497AF88883E3D0F18",1)</f>
        <v>=DISPIMG("ID_09740A879BA8471497AF88883E3D0F18",1)</v>
      </c>
      <c r="G9" s="7">
        <v>4</v>
      </c>
      <c r="H9" s="7">
        <v>4</v>
      </c>
      <c r="I9" s="8" t="s">
        <v>20</v>
      </c>
    </row>
    <row r="10" ht="60" spans="1:9">
      <c r="A10" s="3" t="s">
        <v>9</v>
      </c>
      <c r="D10" s="5" t="s">
        <v>11</v>
      </c>
      <c r="E10" s="5" t="s">
        <v>12</v>
      </c>
      <c r="F10" s="7" t="str">
        <f>_xlfn.DISPIMG("ID_52A0E5ECC3A5411988EC2FE7147F4C74",1)</f>
        <v>=DISPIMG("ID_52A0E5ECC3A5411988EC2FE7147F4C74",1)</v>
      </c>
      <c r="G10" s="7">
        <v>4</v>
      </c>
      <c r="H10" s="7">
        <v>4</v>
      </c>
      <c r="I10" s="8" t="s">
        <v>21</v>
      </c>
    </row>
    <row r="11" ht="60" spans="1:9">
      <c r="A11" s="3" t="s">
        <v>9</v>
      </c>
      <c r="D11" s="5" t="s">
        <v>11</v>
      </c>
      <c r="E11" s="5" t="s">
        <v>12</v>
      </c>
      <c r="F11" s="7" t="str">
        <f>_xlfn.DISPIMG("ID_F67780A5B88245FEAA8FAFC73CFAC6E2",1)</f>
        <v>=DISPIMG("ID_F67780A5B88245FEAA8FAFC73CFAC6E2",1)</v>
      </c>
      <c r="G11" s="7">
        <v>4</v>
      </c>
      <c r="H11" s="7">
        <v>4</v>
      </c>
      <c r="I11" s="8" t="s">
        <v>22</v>
      </c>
    </row>
    <row r="12" ht="60" spans="1:9">
      <c r="A12" s="3" t="s">
        <v>9</v>
      </c>
      <c r="D12" s="5" t="s">
        <v>11</v>
      </c>
      <c r="E12" s="5" t="s">
        <v>12</v>
      </c>
      <c r="F12" s="7" t="str">
        <f>_xlfn.DISPIMG("ID_2A07C542237E44279F4237B9377BE7AD",1)</f>
        <v>=DISPIMG("ID_2A07C542237E44279F4237B9377BE7AD",1)</v>
      </c>
      <c r="G12" s="7">
        <v>4</v>
      </c>
      <c r="H12" s="7">
        <v>4</v>
      </c>
      <c r="I12" s="8" t="s">
        <v>23</v>
      </c>
    </row>
    <row r="13" ht="60" spans="1:9">
      <c r="A13" s="3" t="s">
        <v>9</v>
      </c>
      <c r="D13" s="5" t="s">
        <v>11</v>
      </c>
      <c r="E13" s="5" t="s">
        <v>12</v>
      </c>
      <c r="F13" s="7" t="str">
        <f>_xlfn.DISPIMG("ID_937B7643C4984EFF84A709CFDF41838F",1)</f>
        <v>=DISPIMG("ID_937B7643C4984EFF84A709CFDF41838F",1)</v>
      </c>
      <c r="G13" s="7">
        <v>4</v>
      </c>
      <c r="H13" s="7">
        <v>4</v>
      </c>
      <c r="I13" s="8" t="s">
        <v>24</v>
      </c>
    </row>
    <row r="14" ht="60" spans="1:9">
      <c r="A14" s="3" t="s">
        <v>9</v>
      </c>
      <c r="D14" s="5" t="s">
        <v>11</v>
      </c>
      <c r="E14" s="5" t="s">
        <v>12</v>
      </c>
      <c r="F14" s="7" t="str">
        <f>_xlfn.DISPIMG("ID_FB93118A17AC433DB75D83E7A7F0FB45",1)</f>
        <v>=DISPIMG("ID_FB93118A17AC433DB75D83E7A7F0FB45",1)</v>
      </c>
      <c r="G14" s="7">
        <v>4</v>
      </c>
      <c r="H14" s="7">
        <v>4</v>
      </c>
      <c r="I14" s="8" t="s">
        <v>25</v>
      </c>
    </row>
    <row r="15" ht="60" spans="1:9">
      <c r="A15" s="3" t="s">
        <v>9</v>
      </c>
      <c r="D15" s="5" t="s">
        <v>11</v>
      </c>
      <c r="E15" s="5" t="s">
        <v>12</v>
      </c>
      <c r="F15" s="7" t="str">
        <f>_xlfn.DISPIMG("ID_B5927AE35E6F48FFB396C19B588128EC",1)</f>
        <v>=DISPIMG("ID_B5927AE35E6F48FFB396C19B588128EC",1)</v>
      </c>
      <c r="G15" s="7">
        <v>4</v>
      </c>
      <c r="H15" s="7">
        <v>4</v>
      </c>
      <c r="I15" s="8" t="s">
        <v>26</v>
      </c>
    </row>
    <row r="16" ht="60" spans="1:9">
      <c r="A16" s="3" t="s">
        <v>9</v>
      </c>
      <c r="D16" s="5" t="s">
        <v>11</v>
      </c>
      <c r="E16" s="5" t="s">
        <v>12</v>
      </c>
      <c r="F16" s="7" t="str">
        <f>_xlfn.DISPIMG("ID_FA6BC4AD1FB442A59B3D5B1E2D72F360",1)</f>
        <v>=DISPIMG("ID_FA6BC4AD1FB442A59B3D5B1E2D72F360",1)</v>
      </c>
      <c r="G16" s="7">
        <v>4</v>
      </c>
      <c r="H16" s="7">
        <v>4</v>
      </c>
      <c r="I16" s="8" t="s">
        <v>27</v>
      </c>
    </row>
    <row r="17" ht="60" spans="1:9">
      <c r="A17" s="3" t="s">
        <v>9</v>
      </c>
      <c r="D17" s="5" t="s">
        <v>11</v>
      </c>
      <c r="E17" s="5" t="s">
        <v>12</v>
      </c>
      <c r="F17" s="7" t="str">
        <f>_xlfn.DISPIMG("ID_2F5DE8A1EC3441C8999B56492E668FAE",1)</f>
        <v>=DISPIMG("ID_2F5DE8A1EC3441C8999B56492E668FAE",1)</v>
      </c>
      <c r="G17" s="7">
        <v>4</v>
      </c>
      <c r="H17" s="7">
        <v>4</v>
      </c>
      <c r="I17" s="8" t="s">
        <v>28</v>
      </c>
    </row>
    <row r="18" ht="60" spans="1:9">
      <c r="A18" s="3" t="s">
        <v>9</v>
      </c>
      <c r="D18" s="5" t="s">
        <v>11</v>
      </c>
      <c r="E18" s="5" t="s">
        <v>12</v>
      </c>
      <c r="F18" s="7" t="str">
        <f>_xlfn.DISPIMG("ID_895772680E05471CB3ABFC7A6BACD007",1)</f>
        <v>=DISPIMG("ID_895772680E05471CB3ABFC7A6BACD007",1)</v>
      </c>
      <c r="G18" s="7">
        <v>4</v>
      </c>
      <c r="H18" s="7">
        <v>4</v>
      </c>
      <c r="I18" s="8" t="s">
        <v>29</v>
      </c>
    </row>
    <row r="19" ht="60" spans="1:9">
      <c r="A19" s="3" t="s">
        <v>9</v>
      </c>
      <c r="D19" s="5" t="s">
        <v>11</v>
      </c>
      <c r="E19" s="5" t="s">
        <v>12</v>
      </c>
      <c r="F19" s="7" t="str">
        <f>_xlfn.DISPIMG("ID_599525D9903C4DE6A288172ABA5DCCE2",1)</f>
        <v>=DISPIMG("ID_599525D9903C4DE6A288172ABA5DCCE2",1)</v>
      </c>
      <c r="G19" s="7">
        <v>4</v>
      </c>
      <c r="H19" s="7">
        <v>4</v>
      </c>
      <c r="I19" s="8" t="s">
        <v>30</v>
      </c>
    </row>
    <row r="20" ht="60" spans="1:9">
      <c r="A20" s="3" t="s">
        <v>9</v>
      </c>
      <c r="D20" s="5" t="s">
        <v>11</v>
      </c>
      <c r="E20" s="5" t="s">
        <v>12</v>
      </c>
      <c r="F20" s="7" t="str">
        <f>_xlfn.DISPIMG("ID_B56A152789774DA4A729A0CF796D926D",1)</f>
        <v>=DISPIMG("ID_B56A152789774DA4A729A0CF796D926D",1)</v>
      </c>
      <c r="G20" s="7">
        <v>4</v>
      </c>
      <c r="H20" s="7">
        <v>4</v>
      </c>
      <c r="I20" s="8" t="s">
        <v>31</v>
      </c>
    </row>
    <row r="21" ht="60" spans="1:9">
      <c r="A21" s="3" t="s">
        <v>9</v>
      </c>
      <c r="D21" s="5" t="s">
        <v>11</v>
      </c>
      <c r="E21" s="5" t="s">
        <v>12</v>
      </c>
      <c r="F21" s="7" t="str">
        <f>_xlfn.DISPIMG("ID_09D018F784FD4115B3DF16E4662EBAED",1)</f>
        <v>=DISPIMG("ID_09D018F784FD4115B3DF16E4662EBAED",1)</v>
      </c>
      <c r="G21" s="7">
        <v>4</v>
      </c>
      <c r="H21" s="7">
        <v>4</v>
      </c>
      <c r="I21" s="8" t="s">
        <v>32</v>
      </c>
    </row>
    <row r="22" ht="60.1" spans="1:9">
      <c r="A22" s="3" t="s">
        <v>9</v>
      </c>
      <c r="D22" s="5" t="s">
        <v>11</v>
      </c>
      <c r="E22" s="5" t="s">
        <v>12</v>
      </c>
      <c r="F22" s="7" t="str">
        <f>_xlfn.DISPIMG("ID_FAB83549B55849B6AB8C33167C64CD20",1)</f>
        <v>=DISPIMG("ID_FAB83549B55849B6AB8C33167C64CD20",1)</v>
      </c>
      <c r="G22" s="7">
        <v>4</v>
      </c>
      <c r="H22" s="7">
        <v>4</v>
      </c>
      <c r="I22" s="8" t="s">
        <v>33</v>
      </c>
    </row>
    <row r="23" ht="60" spans="1:9">
      <c r="A23" s="3" t="s">
        <v>9</v>
      </c>
      <c r="D23" s="5" t="s">
        <v>11</v>
      </c>
      <c r="E23" s="5" t="s">
        <v>12</v>
      </c>
      <c r="F23" s="7" t="str">
        <f>_xlfn.DISPIMG("ID_345177AAF69244CEB0EBAD900E428B09",1)</f>
        <v>=DISPIMG("ID_345177AAF69244CEB0EBAD900E428B09",1)</v>
      </c>
      <c r="G23" s="7">
        <v>4</v>
      </c>
      <c r="H23" s="7">
        <v>4</v>
      </c>
      <c r="I23" s="8" t="s">
        <v>34</v>
      </c>
    </row>
    <row r="24" ht="60" spans="1:9">
      <c r="A24" s="3" t="s">
        <v>9</v>
      </c>
      <c r="D24" s="5" t="s">
        <v>11</v>
      </c>
      <c r="E24" s="5" t="s">
        <v>12</v>
      </c>
      <c r="F24" s="7" t="str">
        <f>_xlfn.DISPIMG("ID_186B96CB1B794667B9094BD489F3B823",1)</f>
        <v>=DISPIMG("ID_186B96CB1B794667B9094BD489F3B823",1)</v>
      </c>
      <c r="G24" s="7">
        <v>4</v>
      </c>
      <c r="H24" s="7">
        <v>4</v>
      </c>
      <c r="I24" s="8" t="s">
        <v>35</v>
      </c>
    </row>
    <row r="25" ht="60" spans="1:9">
      <c r="A25" s="3" t="s">
        <v>9</v>
      </c>
      <c r="D25" s="5" t="s">
        <v>11</v>
      </c>
      <c r="E25" s="5" t="s">
        <v>12</v>
      </c>
      <c r="F25" s="7" t="str">
        <f>_xlfn.DISPIMG("ID_DEC0FBCD5EED4DB5B03478DB354A0136",1)</f>
        <v>=DISPIMG("ID_DEC0FBCD5EED4DB5B03478DB354A0136",1)</v>
      </c>
      <c r="G25" s="7">
        <v>4</v>
      </c>
      <c r="H25" s="7">
        <v>4</v>
      </c>
      <c r="I25" s="8" t="s">
        <v>36</v>
      </c>
    </row>
    <row r="26" ht="60" spans="1:9">
      <c r="A26" s="3" t="s">
        <v>9</v>
      </c>
      <c r="D26" s="5" t="s">
        <v>11</v>
      </c>
      <c r="E26" s="5" t="s">
        <v>12</v>
      </c>
      <c r="F26" s="7" t="str">
        <f>_xlfn.DISPIMG("ID_55AEE02E7A5F4E05987CD8FA37708122",1)</f>
        <v>=DISPIMG("ID_55AEE02E7A5F4E05987CD8FA37708122",1)</v>
      </c>
      <c r="G26" s="7">
        <v>4</v>
      </c>
      <c r="H26" s="7">
        <v>4</v>
      </c>
      <c r="I26" s="8" t="s">
        <v>37</v>
      </c>
    </row>
    <row r="27" ht="60" spans="1:9">
      <c r="A27" s="3" t="s">
        <v>9</v>
      </c>
      <c r="D27" s="5" t="s">
        <v>11</v>
      </c>
      <c r="E27" s="5" t="s">
        <v>12</v>
      </c>
      <c r="F27" s="7" t="str">
        <f>_xlfn.DISPIMG("ID_975B16BB4B524287BDFDAA28DEAFDDC5",1)</f>
        <v>=DISPIMG("ID_975B16BB4B524287BDFDAA28DEAFDDC5",1)</v>
      </c>
      <c r="G27" s="7">
        <v>4</v>
      </c>
      <c r="H27" s="7">
        <v>4</v>
      </c>
      <c r="I27" s="8" t="s">
        <v>38</v>
      </c>
    </row>
    <row r="28" ht="60" spans="1:9">
      <c r="A28" s="3" t="s">
        <v>9</v>
      </c>
      <c r="D28" s="5" t="s">
        <v>11</v>
      </c>
      <c r="E28" s="5" t="s">
        <v>12</v>
      </c>
      <c r="F28" s="7" t="str">
        <f>_xlfn.DISPIMG("ID_EC05B4C7F10747C2BBEC399C9D1C6FF3",1)</f>
        <v>=DISPIMG("ID_EC05B4C7F10747C2BBEC399C9D1C6FF3",1)</v>
      </c>
      <c r="G28" s="7">
        <v>4</v>
      </c>
      <c r="H28" s="7">
        <v>4</v>
      </c>
      <c r="I28" s="8" t="s">
        <v>39</v>
      </c>
    </row>
    <row r="29" ht="60" spans="1:9">
      <c r="A29" s="3" t="s">
        <v>9</v>
      </c>
      <c r="D29" s="5" t="s">
        <v>11</v>
      </c>
      <c r="E29" s="5" t="s">
        <v>12</v>
      </c>
      <c r="F29" s="7" t="str">
        <f>_xlfn.DISPIMG("ID_F3FFE40EF793478C877FF1E2B2882949",1)</f>
        <v>=DISPIMG("ID_F3FFE40EF793478C877FF1E2B2882949",1)</v>
      </c>
      <c r="G29" s="7">
        <v>4</v>
      </c>
      <c r="H29" s="7">
        <v>4</v>
      </c>
      <c r="I29" s="8" t="s">
        <v>40</v>
      </c>
    </row>
    <row r="30" ht="60" spans="1:9">
      <c r="A30" s="3" t="s">
        <v>9</v>
      </c>
      <c r="D30" s="5" t="s">
        <v>11</v>
      </c>
      <c r="E30" s="5" t="s">
        <v>12</v>
      </c>
      <c r="F30" s="7" t="str">
        <f>_xlfn.DISPIMG("ID_9716A2CA3A8C40F697ED0637E4FA4491",1)</f>
        <v>=DISPIMG("ID_9716A2CA3A8C40F697ED0637E4FA4491",1)</v>
      </c>
      <c r="G30" s="7">
        <v>4</v>
      </c>
      <c r="H30" s="7">
        <v>4</v>
      </c>
      <c r="I30" s="8" t="s">
        <v>41</v>
      </c>
    </row>
    <row r="31" ht="60" spans="1:9">
      <c r="A31" s="3" t="s">
        <v>9</v>
      </c>
      <c r="D31" s="5" t="s">
        <v>11</v>
      </c>
      <c r="E31" s="5" t="s">
        <v>12</v>
      </c>
      <c r="F31" s="7" t="str">
        <f>_xlfn.DISPIMG("ID_4DC72CE6C0D34F03B091795F8201D8FB",1)</f>
        <v>=DISPIMG("ID_4DC72CE6C0D34F03B091795F8201D8FB",1)</v>
      </c>
      <c r="G31" s="7">
        <v>4</v>
      </c>
      <c r="H31" s="7">
        <v>4</v>
      </c>
      <c r="I31" s="8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3-6岁组四宫对角线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SY三生石畔</cp:lastModifiedBy>
  <dcterms:created xsi:type="dcterms:W3CDTF">2026-04-02T01:18:38Z</dcterms:created>
  <dcterms:modified xsi:type="dcterms:W3CDTF">2026-04-02T01:18:38Z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3945A950993E4050A4370A1E03C37FD0_11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