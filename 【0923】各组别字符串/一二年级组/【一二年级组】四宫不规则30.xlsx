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试题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60" name="ID_2BA4BC2232CB4AB69FE1C1883DDFD0BA" descr="D:/桌面/四宫不规则/9.png9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5811520" y="17291050"/>
          <a:ext cx="1874520" cy="1874520"/>
        </a:xfrm>
        <a:prstGeom prst="rect">
          <a:avLst/>
        </a:prstGeom>
      </xdr:spPr>
    </xdr:pic>
  </etc:cellImage>
  <etc:cellImage>
    <xdr:pic>
      <xdr:nvPicPr>
        <xdr:cNvPr id="181" name="ID_01F27D2E17D14351B8A1BD706D37E870" descr="7"/>
        <xdr:cNvPicPr/>
      </xdr:nvPicPr>
      <xdr:blipFill>
        <a:blip r:embed="rId2"/>
        <a:stretch>
          <a:fillRect/>
        </a:stretch>
      </xdr:blipFill>
      <xdr:spPr>
        <a:xfrm>
          <a:off x="0" y="0"/>
          <a:ext cx="3695700" cy="3695700"/>
        </a:xfrm>
        <a:prstGeom prst="rect">
          <a:avLst/>
        </a:prstGeom>
      </xdr:spPr>
    </xdr:pic>
  </etc:cellImage>
  <etc:cellImage>
    <xdr:pic>
      <xdr:nvPicPr>
        <xdr:cNvPr id="177" name="ID_79E14687E4B74E8A9E25751ECB75AF74" descr="3"/>
        <xdr:cNvPicPr/>
      </xdr:nvPicPr>
      <xdr:blipFill>
        <a:blip r:embed="rId3"/>
        <a:stretch>
          <a:fillRect/>
        </a:stretch>
      </xdr:blipFill>
      <xdr:spPr>
        <a:xfrm>
          <a:off x="0" y="0"/>
          <a:ext cx="3695700" cy="3695700"/>
        </a:xfrm>
        <a:prstGeom prst="rect">
          <a:avLst/>
        </a:prstGeom>
      </xdr:spPr>
    </xdr:pic>
  </etc:cellImage>
  <etc:cellImage>
    <xdr:pic>
      <xdr:nvPicPr>
        <xdr:cNvPr id="175" name="ID_9145B3B1B34B451A8721EFCB8364D64B" descr="1 (3)"/>
        <xdr:cNvPicPr/>
      </xdr:nvPicPr>
      <xdr:blipFill>
        <a:blip r:embed="rId4"/>
        <a:stretch>
          <a:fillRect/>
        </a:stretch>
      </xdr:blipFill>
      <xdr:spPr>
        <a:xfrm>
          <a:off x="0" y="0"/>
          <a:ext cx="3695700" cy="3695700"/>
        </a:xfrm>
        <a:prstGeom prst="rect">
          <a:avLst/>
        </a:prstGeom>
      </xdr:spPr>
    </xdr:pic>
  </etc:cellImage>
  <etc:cellImage>
    <xdr:pic>
      <xdr:nvPicPr>
        <xdr:cNvPr id="176" name="ID_B418A97F12C44A3CB61AF88BC7981C42" descr="2"/>
        <xdr:cNvPicPr/>
      </xdr:nvPicPr>
      <xdr:blipFill>
        <a:blip r:embed="rId5"/>
        <a:stretch>
          <a:fillRect/>
        </a:stretch>
      </xdr:blipFill>
      <xdr:spPr>
        <a:xfrm>
          <a:off x="0" y="0"/>
          <a:ext cx="3695700" cy="3695700"/>
        </a:xfrm>
        <a:prstGeom prst="rect">
          <a:avLst/>
        </a:prstGeom>
      </xdr:spPr>
    </xdr:pic>
  </etc:cellImage>
  <etc:cellImage>
    <xdr:pic>
      <xdr:nvPicPr>
        <xdr:cNvPr id="178" name="ID_E43BD2C315F74E8A9E186CD579FD5330" descr="4"/>
        <xdr:cNvPicPr/>
      </xdr:nvPicPr>
      <xdr:blipFill>
        <a:blip r:embed="rId6"/>
        <a:stretch>
          <a:fillRect/>
        </a:stretch>
      </xdr:blipFill>
      <xdr:spPr>
        <a:xfrm>
          <a:off x="0" y="0"/>
          <a:ext cx="3695700" cy="3695700"/>
        </a:xfrm>
        <a:prstGeom prst="rect">
          <a:avLst/>
        </a:prstGeom>
      </xdr:spPr>
    </xdr:pic>
  </etc:cellImage>
  <etc:cellImage>
    <xdr:pic>
      <xdr:nvPicPr>
        <xdr:cNvPr id="59" name="ID_D78280F9D3DA495183E029B40DD2AD77" descr="D:/桌面/四宫不规则/7.png7"/>
        <xdr:cNvPicPr>
          <a:picLocks noChangeAspect="1"/>
        </xdr:cNvPicPr>
      </xdr:nvPicPr>
      <xdr:blipFill>
        <a:blip r:embed="rId7"/>
        <a:srcRect/>
        <a:stretch>
          <a:fillRect/>
        </a:stretch>
      </xdr:blipFill>
      <xdr:spPr>
        <a:xfrm>
          <a:off x="5811520" y="13481050"/>
          <a:ext cx="1874520" cy="1874520"/>
        </a:xfrm>
        <a:prstGeom prst="rect">
          <a:avLst/>
        </a:prstGeom>
      </xdr:spPr>
    </xdr:pic>
  </etc:cellImage>
  <etc:cellImage>
    <xdr:pic>
      <xdr:nvPicPr>
        <xdr:cNvPr id="179" name="ID_70AB8770512141AABA27DF318F8E4FAD" descr="5"/>
        <xdr:cNvPicPr/>
      </xdr:nvPicPr>
      <xdr:blipFill>
        <a:blip r:embed="rId8"/>
        <a:stretch>
          <a:fillRect/>
        </a:stretch>
      </xdr:blipFill>
      <xdr:spPr>
        <a:xfrm>
          <a:off x="0" y="0"/>
          <a:ext cx="3695700" cy="3695700"/>
        </a:xfrm>
        <a:prstGeom prst="rect">
          <a:avLst/>
        </a:prstGeom>
      </xdr:spPr>
    </xdr:pic>
  </etc:cellImage>
  <etc:cellImage>
    <xdr:pic>
      <xdr:nvPicPr>
        <xdr:cNvPr id="182" name="ID_408FC8E020534F65A78AC9DBE304753B" descr="8"/>
        <xdr:cNvPicPr/>
      </xdr:nvPicPr>
      <xdr:blipFill>
        <a:blip r:embed="rId9"/>
        <a:stretch>
          <a:fillRect/>
        </a:stretch>
      </xdr:blipFill>
      <xdr:spPr>
        <a:xfrm>
          <a:off x="0" y="0"/>
          <a:ext cx="3695700" cy="3695700"/>
        </a:xfrm>
        <a:prstGeom prst="rect">
          <a:avLst/>
        </a:prstGeom>
      </xdr:spPr>
    </xdr:pic>
  </etc:cellImage>
  <etc:cellImage>
    <xdr:pic>
      <xdr:nvPicPr>
        <xdr:cNvPr id="180" name="ID_3A06A4BF023A471ABB52420CAA0B7644" descr="6"/>
        <xdr:cNvPicPr/>
      </xdr:nvPicPr>
      <xdr:blipFill>
        <a:blip r:embed="rId10"/>
        <a:stretch>
          <a:fillRect/>
        </a:stretch>
      </xdr:blipFill>
      <xdr:spPr>
        <a:xfrm>
          <a:off x="0" y="0"/>
          <a:ext cx="3695700" cy="3695700"/>
        </a:xfrm>
        <a:prstGeom prst="rect">
          <a:avLst/>
        </a:prstGeom>
      </xdr:spPr>
    </xdr:pic>
  </etc:cellImage>
  <etc:cellImage>
    <xdr:pic>
      <xdr:nvPicPr>
        <xdr:cNvPr id="183" name="ID_EC08F2E21F5A4E99BC7F0503D15EB106" descr="9"/>
        <xdr:cNvPicPr/>
      </xdr:nvPicPr>
      <xdr:blipFill>
        <a:blip r:embed="rId11"/>
        <a:stretch>
          <a:fillRect/>
        </a:stretch>
      </xdr:blipFill>
      <xdr:spPr>
        <a:xfrm>
          <a:off x="0" y="0"/>
          <a:ext cx="3695700" cy="3695700"/>
        </a:xfrm>
        <a:prstGeom prst="rect">
          <a:avLst/>
        </a:prstGeom>
      </xdr:spPr>
    </xdr:pic>
  </etc:cellImage>
  <etc:cellImage>
    <xdr:pic>
      <xdr:nvPicPr>
        <xdr:cNvPr id="184" name="ID_CE01160D8186462EA40334D02588C2E2" descr="10"/>
        <xdr:cNvPicPr/>
      </xdr:nvPicPr>
      <xdr:blipFill>
        <a:blip r:embed="rId12"/>
        <a:stretch>
          <a:fillRect/>
        </a:stretch>
      </xdr:blipFill>
      <xdr:spPr>
        <a:xfrm>
          <a:off x="0" y="0"/>
          <a:ext cx="3695700" cy="3695700"/>
        </a:xfrm>
        <a:prstGeom prst="rect">
          <a:avLst/>
        </a:prstGeom>
      </xdr:spPr>
    </xdr:pic>
  </etc:cellImage>
  <etc:cellImage>
    <xdr:pic>
      <xdr:nvPicPr>
        <xdr:cNvPr id="57" name="ID_B1D02B100FD44D4C86C4DAC7FA1EAFAA" descr="D:/桌面/四宫不规则/8.png8"/>
        <xdr:cNvPicPr>
          <a:picLocks noChangeAspect="1"/>
        </xdr:cNvPicPr>
      </xdr:nvPicPr>
      <xdr:blipFill>
        <a:blip r:embed="rId13"/>
        <a:srcRect/>
        <a:stretch>
          <a:fillRect/>
        </a:stretch>
      </xdr:blipFill>
      <xdr:spPr>
        <a:xfrm>
          <a:off x="5811520" y="15386050"/>
          <a:ext cx="1874520" cy="1874520"/>
        </a:xfrm>
        <a:prstGeom prst="rect">
          <a:avLst/>
        </a:prstGeom>
      </xdr:spPr>
    </xdr:pic>
  </etc:cellImage>
  <etc:cellImage>
    <xdr:pic>
      <xdr:nvPicPr>
        <xdr:cNvPr id="185" name="ID_05E73902F17C4E7A9352B1C65AF0F530" descr="11"/>
        <xdr:cNvPicPr/>
      </xdr:nvPicPr>
      <xdr:blipFill>
        <a:blip r:embed="rId14"/>
        <a:stretch>
          <a:fillRect/>
        </a:stretch>
      </xdr:blipFill>
      <xdr:spPr>
        <a:xfrm>
          <a:off x="0" y="0"/>
          <a:ext cx="3695700" cy="3695700"/>
        </a:xfrm>
        <a:prstGeom prst="rect">
          <a:avLst/>
        </a:prstGeom>
      </xdr:spPr>
    </xdr:pic>
  </etc:cellImage>
  <etc:cellImage>
    <xdr:pic>
      <xdr:nvPicPr>
        <xdr:cNvPr id="186" name="ID_0FF14E71A88549DDB1909C1C1E04E9AB" descr="12"/>
        <xdr:cNvPicPr/>
      </xdr:nvPicPr>
      <xdr:blipFill>
        <a:blip r:embed="rId15"/>
        <a:stretch>
          <a:fillRect/>
        </a:stretch>
      </xdr:blipFill>
      <xdr:spPr>
        <a:xfrm>
          <a:off x="0" y="0"/>
          <a:ext cx="3695700" cy="3695700"/>
        </a:xfrm>
        <a:prstGeom prst="rect">
          <a:avLst/>
        </a:prstGeom>
      </xdr:spPr>
    </xdr:pic>
  </etc:cellImage>
  <etc:cellImage>
    <xdr:pic>
      <xdr:nvPicPr>
        <xdr:cNvPr id="187" name="ID_64014F0EC28F43FCBA7D40501CDFD4EC" descr="13"/>
        <xdr:cNvPicPr/>
      </xdr:nvPicPr>
      <xdr:blipFill>
        <a:blip r:embed="rId16"/>
        <a:stretch>
          <a:fillRect/>
        </a:stretch>
      </xdr:blipFill>
      <xdr:spPr>
        <a:xfrm>
          <a:off x="0" y="0"/>
          <a:ext cx="3695700" cy="3695700"/>
        </a:xfrm>
        <a:prstGeom prst="rect">
          <a:avLst/>
        </a:prstGeom>
      </xdr:spPr>
    </xdr:pic>
  </etc:cellImage>
  <etc:cellImage>
    <xdr:pic>
      <xdr:nvPicPr>
        <xdr:cNvPr id="188" name="ID_E84776CCAB714FB1B12A9970D57FE691" descr="14"/>
        <xdr:cNvPicPr/>
      </xdr:nvPicPr>
      <xdr:blipFill>
        <a:blip r:embed="rId17"/>
        <a:stretch>
          <a:fillRect/>
        </a:stretch>
      </xdr:blipFill>
      <xdr:spPr>
        <a:xfrm>
          <a:off x="0" y="0"/>
          <a:ext cx="3695700" cy="3695700"/>
        </a:xfrm>
        <a:prstGeom prst="rect">
          <a:avLst/>
        </a:prstGeom>
      </xdr:spPr>
    </xdr:pic>
  </etc:cellImage>
  <etc:cellImage>
    <xdr:pic>
      <xdr:nvPicPr>
        <xdr:cNvPr id="55" name="ID_6664EE1BA83A45E4992F49BEFD219046" descr="D:/桌面/四宫不规则/2.png2"/>
        <xdr:cNvPicPr>
          <a:picLocks noChangeAspect="1"/>
        </xdr:cNvPicPr>
      </xdr:nvPicPr>
      <xdr:blipFill>
        <a:blip r:embed="rId18"/>
        <a:srcRect/>
        <a:stretch>
          <a:fillRect/>
        </a:stretch>
      </xdr:blipFill>
      <xdr:spPr>
        <a:xfrm>
          <a:off x="5811520" y="3956050"/>
          <a:ext cx="1874520" cy="1874520"/>
        </a:xfrm>
        <a:prstGeom prst="rect">
          <a:avLst/>
        </a:prstGeom>
      </xdr:spPr>
    </xdr:pic>
  </etc:cellImage>
  <etc:cellImage>
    <xdr:pic>
      <xdr:nvPicPr>
        <xdr:cNvPr id="189" name="ID_B7233C21FFAE46AE8E308355C08E95F9" descr="15"/>
        <xdr:cNvPicPr/>
      </xdr:nvPicPr>
      <xdr:blipFill>
        <a:blip r:embed="rId19"/>
        <a:stretch>
          <a:fillRect/>
        </a:stretch>
      </xdr:blipFill>
      <xdr:spPr>
        <a:xfrm>
          <a:off x="0" y="0"/>
          <a:ext cx="3695700" cy="3695700"/>
        </a:xfrm>
        <a:prstGeom prst="rect">
          <a:avLst/>
        </a:prstGeom>
      </xdr:spPr>
    </xdr:pic>
  </etc:cellImage>
  <etc:cellImage>
    <xdr:pic>
      <xdr:nvPicPr>
        <xdr:cNvPr id="190" name="ID_BDB8A8891FEE4DBD849B9383901EB4E4" descr="16"/>
        <xdr:cNvPicPr/>
      </xdr:nvPicPr>
      <xdr:blipFill>
        <a:blip r:embed="rId20"/>
        <a:stretch>
          <a:fillRect/>
        </a:stretch>
      </xdr:blipFill>
      <xdr:spPr>
        <a:xfrm>
          <a:off x="0" y="0"/>
          <a:ext cx="3695700" cy="3695700"/>
        </a:xfrm>
        <a:prstGeom prst="rect">
          <a:avLst/>
        </a:prstGeom>
      </xdr:spPr>
    </xdr:pic>
  </etc:cellImage>
  <etc:cellImage>
    <xdr:pic>
      <xdr:nvPicPr>
        <xdr:cNvPr id="191" name="ID_B71A65979EDA46D99BDEB52A9246DA8F" descr="17"/>
        <xdr:cNvPicPr/>
      </xdr:nvPicPr>
      <xdr:blipFill>
        <a:blip r:embed="rId21"/>
        <a:stretch>
          <a:fillRect/>
        </a:stretch>
      </xdr:blipFill>
      <xdr:spPr>
        <a:xfrm>
          <a:off x="0" y="0"/>
          <a:ext cx="3695700" cy="3695700"/>
        </a:xfrm>
        <a:prstGeom prst="rect">
          <a:avLst/>
        </a:prstGeom>
      </xdr:spPr>
    </xdr:pic>
  </etc:cellImage>
  <etc:cellImage>
    <xdr:pic>
      <xdr:nvPicPr>
        <xdr:cNvPr id="192" name="ID_88F3DFE7ECD74C6AB569E9340E942D4F" descr="18"/>
        <xdr:cNvPicPr/>
      </xdr:nvPicPr>
      <xdr:blipFill>
        <a:blip r:embed="rId22"/>
        <a:stretch>
          <a:fillRect/>
        </a:stretch>
      </xdr:blipFill>
      <xdr:spPr>
        <a:xfrm>
          <a:off x="0" y="0"/>
          <a:ext cx="3695700" cy="3695700"/>
        </a:xfrm>
        <a:prstGeom prst="rect">
          <a:avLst/>
        </a:prstGeom>
      </xdr:spPr>
    </xdr:pic>
  </etc:cellImage>
  <etc:cellImage>
    <xdr:pic>
      <xdr:nvPicPr>
        <xdr:cNvPr id="54" name="ID_51D159E422DD4F0BA51596B89854097B" descr="D:/桌面/四宫不规则/3.png3"/>
        <xdr:cNvPicPr>
          <a:picLocks noChangeAspect="1"/>
        </xdr:cNvPicPr>
      </xdr:nvPicPr>
      <xdr:blipFill>
        <a:blip r:embed="rId23"/>
        <a:srcRect/>
        <a:stretch>
          <a:fillRect/>
        </a:stretch>
      </xdr:blipFill>
      <xdr:spPr>
        <a:xfrm>
          <a:off x="5811520" y="5861050"/>
          <a:ext cx="1874520" cy="1874520"/>
        </a:xfrm>
        <a:prstGeom prst="rect">
          <a:avLst/>
        </a:prstGeom>
      </xdr:spPr>
    </xdr:pic>
  </etc:cellImage>
  <etc:cellImage>
    <xdr:pic>
      <xdr:nvPicPr>
        <xdr:cNvPr id="193" name="ID_F3AD6CBB807F42C7925A0880B36AA995" descr="19"/>
        <xdr:cNvPicPr/>
      </xdr:nvPicPr>
      <xdr:blipFill>
        <a:blip r:embed="rId24"/>
        <a:stretch>
          <a:fillRect/>
        </a:stretch>
      </xdr:blipFill>
      <xdr:spPr>
        <a:xfrm>
          <a:off x="0" y="0"/>
          <a:ext cx="3695700" cy="3695700"/>
        </a:xfrm>
        <a:prstGeom prst="rect">
          <a:avLst/>
        </a:prstGeom>
      </xdr:spPr>
    </xdr:pic>
  </etc:cellImage>
  <etc:cellImage>
    <xdr:pic>
      <xdr:nvPicPr>
        <xdr:cNvPr id="194" name="ID_AA4AFC1176A24C2FB685DBB8130DA231" descr="20"/>
        <xdr:cNvPicPr/>
      </xdr:nvPicPr>
      <xdr:blipFill>
        <a:blip r:embed="rId25"/>
        <a:stretch>
          <a:fillRect/>
        </a:stretch>
      </xdr:blipFill>
      <xdr:spPr>
        <a:xfrm>
          <a:off x="0" y="0"/>
          <a:ext cx="3695700" cy="3695700"/>
        </a:xfrm>
        <a:prstGeom prst="rect">
          <a:avLst/>
        </a:prstGeom>
      </xdr:spPr>
    </xdr:pic>
  </etc:cellImage>
  <etc:cellImage>
    <xdr:pic>
      <xdr:nvPicPr>
        <xdr:cNvPr id="22" name="ID_09816B96C95D4F5FB1859043E4991B6C" descr="D:/桌面/四宫不规则/1.png1"/>
        <xdr:cNvPicPr>
          <a:picLocks noChangeAspect="1"/>
        </xdr:cNvPicPr>
      </xdr:nvPicPr>
      <xdr:blipFill>
        <a:blip r:embed="rId26"/>
        <a:srcRect/>
        <a:stretch>
          <a:fillRect/>
        </a:stretch>
      </xdr:blipFill>
      <xdr:spPr>
        <a:xfrm>
          <a:off x="5811520" y="2051050"/>
          <a:ext cx="1874520" cy="1874520"/>
        </a:xfrm>
        <a:prstGeom prst="rect">
          <a:avLst/>
        </a:prstGeom>
      </xdr:spPr>
    </xdr:pic>
  </etc:cellImage>
  <etc:cellImage>
    <xdr:pic>
      <xdr:nvPicPr>
        <xdr:cNvPr id="33" name="ID_E8AE990616A8489DBC95A67B2E23E1F8" descr="D:/桌面/四宫不规则/4.png4"/>
        <xdr:cNvPicPr>
          <a:picLocks noChangeAspect="1"/>
        </xdr:cNvPicPr>
      </xdr:nvPicPr>
      <xdr:blipFill>
        <a:blip r:embed="rId27"/>
        <a:srcRect/>
        <a:stretch>
          <a:fillRect/>
        </a:stretch>
      </xdr:blipFill>
      <xdr:spPr>
        <a:xfrm>
          <a:off x="5811520" y="7766050"/>
          <a:ext cx="1874520" cy="1874520"/>
        </a:xfrm>
        <a:prstGeom prst="rect">
          <a:avLst/>
        </a:prstGeom>
      </xdr:spPr>
    </xdr:pic>
  </etc:cellImage>
  <etc:cellImage>
    <xdr:pic>
      <xdr:nvPicPr>
        <xdr:cNvPr id="56" name="ID_B39E9A56D2624F6BAB457C521FECF920" descr="D:/桌面/四宫不规则/5.png5"/>
        <xdr:cNvPicPr>
          <a:picLocks noChangeAspect="1"/>
        </xdr:cNvPicPr>
      </xdr:nvPicPr>
      <xdr:blipFill>
        <a:blip r:embed="rId28"/>
        <a:srcRect/>
        <a:stretch>
          <a:fillRect/>
        </a:stretch>
      </xdr:blipFill>
      <xdr:spPr>
        <a:xfrm>
          <a:off x="5811520" y="9671050"/>
          <a:ext cx="1874520" cy="1874520"/>
        </a:xfrm>
        <a:prstGeom prst="rect">
          <a:avLst/>
        </a:prstGeom>
      </xdr:spPr>
    </xdr:pic>
  </etc:cellImage>
  <etc:cellImage>
    <xdr:pic>
      <xdr:nvPicPr>
        <xdr:cNvPr id="58" name="ID_C921E512F34A43F9BCF47D4BBBC1EE20" descr="D:/桌面/四宫不规则/6.png6"/>
        <xdr:cNvPicPr>
          <a:picLocks noChangeAspect="1"/>
        </xdr:cNvPicPr>
      </xdr:nvPicPr>
      <xdr:blipFill>
        <a:blip r:embed="rId29"/>
        <a:srcRect/>
        <a:stretch>
          <a:fillRect/>
        </a:stretch>
      </xdr:blipFill>
      <xdr:spPr>
        <a:xfrm>
          <a:off x="5811520" y="11576050"/>
          <a:ext cx="1874520" cy="1874520"/>
        </a:xfrm>
        <a:prstGeom prst="rect">
          <a:avLst/>
        </a:prstGeom>
      </xdr:spPr>
    </xdr:pic>
  </etc:cellImage>
  <etc:cellImage>
    <xdr:pic>
      <xdr:nvPicPr>
        <xdr:cNvPr id="61" name="ID_D367CE91EA5D470C82CADEEADAD7B130" descr="D:/桌面/四宫不规则/10.png10"/>
        <xdr:cNvPicPr>
          <a:picLocks noChangeAspect="1"/>
        </xdr:cNvPicPr>
      </xdr:nvPicPr>
      <xdr:blipFill>
        <a:blip r:embed="rId30"/>
        <a:srcRect/>
        <a:stretch>
          <a:fillRect/>
        </a:stretch>
      </xdr:blipFill>
      <xdr:spPr>
        <a:xfrm>
          <a:off x="5811520" y="19196050"/>
          <a:ext cx="1874520" cy="187452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<sst xmlns="http://schemas.openxmlformats.org/spreadsheetml/2006/main" count="130" uniqueCount="43">
  <si>
    <t>题目</t>
  </si>
  <si>
    <t>题目配图</t>
  </si>
  <si>
    <t>题目音频</t>
  </si>
  <si>
    <t>*类目</t>
  </si>
  <si>
    <t>*分数</t>
  </si>
  <si>
    <t>*数独底图</t>
  </si>
  <si>
    <t>*水平长度</t>
  </si>
  <si>
    <t>*垂直长度</t>
  </si>
  <si>
    <t>*正确答案</t>
  </si>
  <si>
    <t>将数字 1-4 填入空格内，使每行、每列及每个不规则粗线宫内数字均不重复。</t>
  </si>
  <si>
    <t/>
  </si>
  <si>
    <t>四宫不规则数独</t>
  </si>
  <si>
    <t>5</t>
  </si>
  <si>
    <t>[3,2,,1],
[2,,1,3],
[4,,3,2],
[1,3,,4]</t>
  </si>
  <si>
    <t>[,2,3,],
[2,3,4,1],
[3,4,1,2],
[,1,2,]</t>
  </si>
  <si>
    <t>[,4,3,2],
[2,1,4,],
[3,2,1,],
[,3,2,1]</t>
  </si>
  <si>
    <t>[1,3,,4],
[,1,3,2],
[2,4,1,],
[3,,4,1]</t>
  </si>
  <si>
    <t>[1,4,3,2],
[2,,,3],
[,2,1,],
[4,3,2,1]</t>
  </si>
  <si>
    <t>[,2,3,4],
[3,1,4,],
[4,3,2,1],
[2,,1,3]</t>
  </si>
  <si>
    <t>[,3,4,1],
[1,,3,2],
[4,1,2,],
[3,2,,4]</t>
  </si>
  <si>
    <t>[3,,1,2],
[1,2,4,],
[,1,3,4],
[4,3,,1]</t>
  </si>
  <si>
    <t>[4,,1,2],
[,1,2,4],
[2,4,3,],
[1,2,,3]</t>
  </si>
  <si>
    <t>[4,2,,1],
[3,1,2,4],
[2,,1,3],
[1,3,4,]</t>
  </si>
  <si>
    <t>[4,,2,3],
[2,3,1,],
[1,4,3,],
[3,,4,1]</t>
  </si>
  <si>
    <t>[2,1,,3],
[,4,2,],
[1,2,3,4],
[4,3,1,2]</t>
  </si>
  <si>
    <t>[3,,4,2],
[,2,3,],
[1,4,2,3],
[2,,1,4]</t>
  </si>
  <si>
    <t>[4,2,3,],
[1,,4,2],
[2,4,1,3],
[3,1,,4]</t>
  </si>
  <si>
    <t>[2,3,,1],
[4,1,2,3],
[,4,1,],
[1,2,,4]</t>
  </si>
  <si>
    <t>[1,4,2,],
[3,2,,4],
[2,,4,1],
[,1,3,2]</t>
  </si>
  <si>
    <t>[2,,4,3],
[,3,1,2],
[3,4,2,],
[1,2,,4]</t>
  </si>
  <si>
    <t>[1,,3,4],
[2,1,4,],
[,4,2,1],
[4,3,,2]</t>
  </si>
  <si>
    <t>[3,1,,2],
[,3,2,4],
[2,4,3,],
[4,,1,3]</t>
  </si>
  <si>
    <t>[,3,2,1],
[2,,3,4],
[1,2,,3],
[3,4,1,]</t>
  </si>
  <si>
    <t>[4,,,1],
[2,1,4,3],
[,4,3,],
[3,2,1,4]</t>
  </si>
  <si>
    <t>[2,,3,1],
[,3,4,2],
[4,2,1,],
[3,1,,4]</t>
  </si>
  <si>
    <t>[2,3,1,],
[3,,4,2],
[1,4,,3],
[4,2,3,1]</t>
  </si>
  <si>
    <t>[,2,1,4],
[2,1,4,],
[1,4,3,],
[,3,2,1]</t>
  </si>
  <si>
    <t>[2,1,3,4],
[,3,4,],
[,4,2,],
[4,2,1,3]</t>
  </si>
  <si>
    <t>[,2,4,1],
[1,3,,4],
[4,,3,2],
[2,4,1,3]</t>
  </si>
  <si>
    <t>[,1,2,3],
[3,4,,2],
[2,,4,1],
[1,2,3,4]</t>
  </si>
  <si>
    <t>[2,3,1,4],
[,2,3,],
[,4,2,],
[3,1,4,2]</t>
  </si>
  <si>
    <t>[2,,3,4],
[4,2,1,],
[,4,2,1],
[1,3,,2]</t>
  </si>
  <si>
    <t>[,4,3,1],
[1,2,,3],
[3,,2,4],
[4,3,1,2]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</si>
</sst>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49" fontId="0" fillId="0" borderId="0" xfId="0" applyNumberFormat="1" applyFont="1" applyAlignment="1">
      <alignment horizontal="center" vertical="center" wrapText="1"/>
    </xf>
    <xf numFmtId="49" fontId="1" fillId="0" borderId="0" xfId="0" applyNumberFormat="1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png"/><Relationship Id="rId8" Type="http://schemas.openxmlformats.org/officeDocument/2006/relationships/image" Target="media/image8.png"/><Relationship Id="rId7" Type="http://schemas.openxmlformats.org/officeDocument/2006/relationships/image" Target="media/image7.png"/><Relationship Id="rId6" Type="http://schemas.openxmlformats.org/officeDocument/2006/relationships/image" Target="media/image6.png"/><Relationship Id="rId5" Type="http://schemas.openxmlformats.org/officeDocument/2006/relationships/image" Target="media/image5.png"/><Relationship Id="rId4" Type="http://schemas.openxmlformats.org/officeDocument/2006/relationships/image" Target="media/image4.png"/><Relationship Id="rId30" Type="http://schemas.openxmlformats.org/officeDocument/2006/relationships/image" Target="media/image30.png"/><Relationship Id="rId3" Type="http://schemas.openxmlformats.org/officeDocument/2006/relationships/image" Target="media/image3.png"/><Relationship Id="rId29" Type="http://schemas.openxmlformats.org/officeDocument/2006/relationships/image" Target="media/image29.png"/><Relationship Id="rId28" Type="http://schemas.openxmlformats.org/officeDocument/2006/relationships/image" Target="media/image28.png"/><Relationship Id="rId27" Type="http://schemas.openxmlformats.org/officeDocument/2006/relationships/image" Target="media/image27.png"/><Relationship Id="rId26" Type="http://schemas.openxmlformats.org/officeDocument/2006/relationships/image" Target="media/image26.png"/><Relationship Id="rId25" Type="http://schemas.openxmlformats.org/officeDocument/2006/relationships/image" Target="media/image25.png"/><Relationship Id="rId24" Type="http://schemas.openxmlformats.org/officeDocument/2006/relationships/image" Target="media/image24.png"/><Relationship Id="rId23" Type="http://schemas.openxmlformats.org/officeDocument/2006/relationships/image" Target="media/image23.png"/><Relationship Id="rId22" Type="http://schemas.openxmlformats.org/officeDocument/2006/relationships/image" Target="media/image22.png"/><Relationship Id="rId21" Type="http://schemas.openxmlformats.org/officeDocument/2006/relationships/image" Target="media/image21.png"/><Relationship Id="rId20" Type="http://schemas.openxmlformats.org/officeDocument/2006/relationships/image" Target="media/image20.png"/><Relationship Id="rId2" Type="http://schemas.openxmlformats.org/officeDocument/2006/relationships/image" Target="media/image2.png"/><Relationship Id="rId19" Type="http://schemas.openxmlformats.org/officeDocument/2006/relationships/image" Target="media/image19.png"/><Relationship Id="rId18" Type="http://schemas.openxmlformats.org/officeDocument/2006/relationships/image" Target="media/image18.png"/><Relationship Id="rId17" Type="http://schemas.openxmlformats.org/officeDocument/2006/relationships/image" Target="media/image17.png"/><Relationship Id="rId16" Type="http://schemas.openxmlformats.org/officeDocument/2006/relationships/image" Target="media/image16.png"/><Relationship Id="rId15" Type="http://schemas.openxmlformats.org/officeDocument/2006/relationships/image" Target="media/image15.png"/><Relationship Id="rId14" Type="http://schemas.openxmlformats.org/officeDocument/2006/relationships/image" Target="media/image14.png"/><Relationship Id="rId13" Type="http://schemas.openxmlformats.org/officeDocument/2006/relationships/image" Target="media/image13.png"/><Relationship Id="rId12" Type="http://schemas.openxmlformats.org/officeDocument/2006/relationships/image" Target="media/image12.png"/><Relationship Id="rId11" Type="http://schemas.openxmlformats.org/officeDocument/2006/relationships/image" Target="media/image11.png"/><Relationship Id="rId10" Type="http://schemas.openxmlformats.org/officeDocument/2006/relationships/image" Target="media/image10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"/>
  <sheetViews>
    <sheetView tabSelected="1" workbookViewId="0">
      <pane ySplit="1" topLeftCell="A2" activePane="bottomLeft" state="frozen"/>
      <selection/>
      <selection pane="bottomLeft" activeCell="I2" sqref="I2:I31"/>
    </sheetView>
  </sheetViews>
  <sheetFormatPr defaultColWidth="9" defaultRowHeight="13.5"/>
  <cols>
    <col min="1" max="1" width="50" customWidth="1"/>
    <col min="2" max="3" width="20" customWidth="1"/>
    <col min="4" max="5" width="15" customWidth="1"/>
    <col min="6" max="6" width="10" customWidth="1"/>
    <col min="7" max="9" width="15" customWidth="1"/>
  </cols>
  <sheetData>
    <row r="1" ht="25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5" customHeight="1" spans="1:9">
      <c r="A2" s="2" t="s">
        <v>9</v>
      </c>
      <c r="B2" s="3" t="s">
        <v>10</v>
      </c>
      <c r="D2" s="4" t="s">
        <v>11</v>
      </c>
      <c r="E2" s="4" t="s">
        <v>12</v>
      </c>
      <c r="F2" s="5" t="str">
        <f>_xlfn.DISPIMG("ID_9145B3B1B34B451A8721EFCB8364D64B",1)</f>
        <v>=DISPIMG("ID_9145B3B1B34B451A8721EFCB8364D64B",1)</v>
      </c>
      <c r="G2" s="6">
        <v>4</v>
      </c>
      <c r="H2" s="6">
        <v>4</v>
      </c>
      <c r="I2" s="7" t="s">
        <v>13</v>
      </c>
    </row>
    <row r="3" ht="60" spans="1:9">
      <c r="A3" s="2" t="s">
        <v>9</v>
      </c>
      <c r="D3" s="4" t="s">
        <v>11</v>
      </c>
      <c r="E3" s="4" t="s">
        <v>12</v>
      </c>
      <c r="F3" s="6" t="str">
        <f>_xlfn.DISPIMG("ID_B418A97F12C44A3CB61AF88BC7981C42",1)</f>
        <v>=DISPIMG("ID_B418A97F12C44A3CB61AF88BC7981C42",1)</v>
      </c>
      <c r="G3" s="6">
        <v>4</v>
      </c>
      <c r="H3" s="6">
        <v>4</v>
      </c>
      <c r="I3" s="7" t="s">
        <v>14</v>
      </c>
    </row>
    <row r="4" ht="60" spans="1:9">
      <c r="A4" s="2" t="s">
        <v>9</v>
      </c>
      <c r="D4" s="4" t="s">
        <v>11</v>
      </c>
      <c r="E4" s="4" t="s">
        <v>12</v>
      </c>
      <c r="F4" s="6" t="str">
        <f>_xlfn.DISPIMG("ID_79E14687E4B74E8A9E25751ECB75AF74",1)</f>
        <v>=DISPIMG("ID_79E14687E4B74E8A9E25751ECB75AF74",1)</v>
      </c>
      <c r="G4" s="6">
        <v>4</v>
      </c>
      <c r="H4" s="6">
        <v>4</v>
      </c>
      <c r="I4" s="7" t="s">
        <v>15</v>
      </c>
    </row>
    <row r="5" ht="60" spans="1:9">
      <c r="A5" s="2" t="s">
        <v>9</v>
      </c>
      <c r="D5" s="4" t="s">
        <v>11</v>
      </c>
      <c r="E5" s="4" t="s">
        <v>12</v>
      </c>
      <c r="F5" s="6" t="str">
        <f>_xlfn.DISPIMG("ID_E43BD2C315F74E8A9E186CD579FD5330",1)</f>
        <v>=DISPIMG("ID_E43BD2C315F74E8A9E186CD579FD5330",1)</v>
      </c>
      <c r="G5" s="6">
        <v>4</v>
      </c>
      <c r="H5" s="6">
        <v>4</v>
      </c>
      <c r="I5" s="7" t="s">
        <v>16</v>
      </c>
    </row>
    <row r="6" ht="60" spans="1:9">
      <c r="A6" s="2" t="s">
        <v>9</v>
      </c>
      <c r="D6" s="4" t="s">
        <v>11</v>
      </c>
      <c r="E6" s="4" t="s">
        <v>12</v>
      </c>
      <c r="F6" s="6" t="str">
        <f>_xlfn.DISPIMG("ID_70AB8770512141AABA27DF318F8E4FAD",1)</f>
        <v>=DISPIMG("ID_70AB8770512141AABA27DF318F8E4FAD",1)</v>
      </c>
      <c r="G6" s="6">
        <v>4</v>
      </c>
      <c r="H6" s="6">
        <v>4</v>
      </c>
      <c r="I6" s="7" t="s">
        <v>17</v>
      </c>
    </row>
    <row r="7" ht="60" spans="1:9">
      <c r="A7" s="2" t="s">
        <v>9</v>
      </c>
      <c r="D7" s="4" t="s">
        <v>11</v>
      </c>
      <c r="E7" s="4" t="s">
        <v>12</v>
      </c>
      <c r="F7" s="6" t="str">
        <f>_xlfn.DISPIMG("ID_3A06A4BF023A471ABB52420CAA0B7644",1)</f>
        <v>=DISPIMG("ID_3A06A4BF023A471ABB52420CAA0B7644",1)</v>
      </c>
      <c r="G7" s="6">
        <v>4</v>
      </c>
      <c r="H7" s="6">
        <v>4</v>
      </c>
      <c r="I7" s="7" t="s">
        <v>18</v>
      </c>
    </row>
    <row r="8" ht="60" spans="1:9">
      <c r="A8" s="2" t="s">
        <v>9</v>
      </c>
      <c r="D8" s="4" t="s">
        <v>11</v>
      </c>
      <c r="E8" s="4" t="s">
        <v>12</v>
      </c>
      <c r="F8" s="6" t="str">
        <f>_xlfn.DISPIMG("ID_01F27D2E17D14351B8A1BD706D37E870",1)</f>
        <v>=DISPIMG("ID_01F27D2E17D14351B8A1BD706D37E870",1)</v>
      </c>
      <c r="G8" s="6">
        <v>4</v>
      </c>
      <c r="H8" s="6">
        <v>4</v>
      </c>
      <c r="I8" s="7" t="s">
        <v>19</v>
      </c>
    </row>
    <row r="9" ht="60" spans="1:9">
      <c r="A9" s="2" t="s">
        <v>9</v>
      </c>
      <c r="D9" s="4" t="s">
        <v>11</v>
      </c>
      <c r="E9" s="4" t="s">
        <v>12</v>
      </c>
      <c r="F9" s="6" t="str">
        <f>_xlfn.DISPIMG("ID_408FC8E020534F65A78AC9DBE304753B",1)</f>
        <v>=DISPIMG("ID_408FC8E020534F65A78AC9DBE304753B",1)</v>
      </c>
      <c r="G9" s="6">
        <v>4</v>
      </c>
      <c r="H9" s="6">
        <v>4</v>
      </c>
      <c r="I9" s="7" t="s">
        <v>20</v>
      </c>
    </row>
    <row r="10" ht="60" spans="1:9">
      <c r="A10" s="2" t="s">
        <v>9</v>
      </c>
      <c r="D10" s="4" t="s">
        <v>11</v>
      </c>
      <c r="E10" s="4" t="s">
        <v>12</v>
      </c>
      <c r="F10" s="6" t="str">
        <f>_xlfn.DISPIMG("ID_EC08F2E21F5A4E99BC7F0503D15EB106",1)</f>
        <v>=DISPIMG("ID_EC08F2E21F5A4E99BC7F0503D15EB106",1)</v>
      </c>
      <c r="G10" s="6">
        <v>4</v>
      </c>
      <c r="H10" s="6">
        <v>4</v>
      </c>
      <c r="I10" s="7" t="s">
        <v>21</v>
      </c>
    </row>
    <row r="11" ht="60" spans="1:9">
      <c r="A11" s="2" t="s">
        <v>9</v>
      </c>
      <c r="D11" s="4" t="s">
        <v>11</v>
      </c>
      <c r="E11" s="4" t="s">
        <v>12</v>
      </c>
      <c r="F11" s="6" t="str">
        <f>_xlfn.DISPIMG("ID_CE01160D8186462EA40334D02588C2E2",1)</f>
        <v>=DISPIMG("ID_CE01160D8186462EA40334D02588C2E2",1)</v>
      </c>
      <c r="G11" s="6">
        <v>4</v>
      </c>
      <c r="H11" s="6">
        <v>4</v>
      </c>
      <c r="I11" s="7" t="s">
        <v>22</v>
      </c>
    </row>
    <row r="12" ht="60" spans="1:9">
      <c r="A12" s="2" t="s">
        <v>9</v>
      </c>
      <c r="D12" s="4" t="s">
        <v>11</v>
      </c>
      <c r="E12" s="4" t="s">
        <v>12</v>
      </c>
      <c r="F12" s="6" t="str">
        <f>_xlfn.DISPIMG("ID_05E73902F17C4E7A9352B1C65AF0F530",1)</f>
        <v>=DISPIMG("ID_05E73902F17C4E7A9352B1C65AF0F530",1)</v>
      </c>
      <c r="G12" s="6">
        <v>4</v>
      </c>
      <c r="H12" s="6">
        <v>4</v>
      </c>
      <c r="I12" s="7" t="s">
        <v>23</v>
      </c>
    </row>
    <row r="13" ht="60" spans="1:9">
      <c r="A13" s="2" t="s">
        <v>9</v>
      </c>
      <c r="D13" s="4" t="s">
        <v>11</v>
      </c>
      <c r="E13" s="4" t="s">
        <v>12</v>
      </c>
      <c r="F13" s="6" t="str">
        <f>_xlfn.DISPIMG("ID_0FF14E71A88549DDB1909C1C1E04E9AB",1)</f>
        <v>=DISPIMG("ID_0FF14E71A88549DDB1909C1C1E04E9AB",1)</v>
      </c>
      <c r="G13" s="6">
        <v>4</v>
      </c>
      <c r="H13" s="6">
        <v>4</v>
      </c>
      <c r="I13" s="7" t="s">
        <v>24</v>
      </c>
    </row>
    <row r="14" ht="60" spans="1:9">
      <c r="A14" s="2" t="s">
        <v>9</v>
      </c>
      <c r="D14" s="4" t="s">
        <v>11</v>
      </c>
      <c r="E14" s="4" t="s">
        <v>12</v>
      </c>
      <c r="F14" s="6" t="str">
        <f>_xlfn.DISPIMG("ID_64014F0EC28F43FCBA7D40501CDFD4EC",1)</f>
        <v>=DISPIMG("ID_64014F0EC28F43FCBA7D40501CDFD4EC",1)</v>
      </c>
      <c r="G14" s="6">
        <v>4</v>
      </c>
      <c r="H14" s="6">
        <v>4</v>
      </c>
      <c r="I14" s="7" t="s">
        <v>25</v>
      </c>
    </row>
    <row r="15" ht="60" spans="1:9">
      <c r="A15" s="2" t="s">
        <v>9</v>
      </c>
      <c r="D15" s="4" t="s">
        <v>11</v>
      </c>
      <c r="E15" s="4" t="s">
        <v>12</v>
      </c>
      <c r="F15" s="6" t="str">
        <f>_xlfn.DISPIMG("ID_E84776CCAB714FB1B12A9970D57FE691",1)</f>
        <v>=DISPIMG("ID_E84776CCAB714FB1B12A9970D57FE691",1)</v>
      </c>
      <c r="G15" s="6">
        <v>4</v>
      </c>
      <c r="H15" s="6">
        <v>4</v>
      </c>
      <c r="I15" s="7" t="s">
        <v>26</v>
      </c>
    </row>
    <row r="16" ht="60" spans="1:9">
      <c r="A16" s="2" t="s">
        <v>9</v>
      </c>
      <c r="D16" s="4" t="s">
        <v>11</v>
      </c>
      <c r="E16" s="4" t="s">
        <v>12</v>
      </c>
      <c r="F16" s="6" t="str">
        <f>_xlfn.DISPIMG("ID_B7233C21FFAE46AE8E308355C08E95F9",1)</f>
        <v>=DISPIMG("ID_B7233C21FFAE46AE8E308355C08E95F9",1)</v>
      </c>
      <c r="G16" s="6">
        <v>4</v>
      </c>
      <c r="H16" s="6">
        <v>4</v>
      </c>
      <c r="I16" s="7" t="s">
        <v>27</v>
      </c>
    </row>
    <row r="17" ht="60" spans="1:9">
      <c r="A17" s="2" t="s">
        <v>9</v>
      </c>
      <c r="D17" s="4" t="s">
        <v>11</v>
      </c>
      <c r="E17" s="4" t="s">
        <v>12</v>
      </c>
      <c r="F17" s="6" t="str">
        <f>_xlfn.DISPIMG("ID_BDB8A8891FEE4DBD849B9383901EB4E4",1)</f>
        <v>=DISPIMG("ID_BDB8A8891FEE4DBD849B9383901EB4E4",1)</v>
      </c>
      <c r="G17" s="6">
        <v>4</v>
      </c>
      <c r="H17" s="6">
        <v>4</v>
      </c>
      <c r="I17" s="7" t="s">
        <v>28</v>
      </c>
    </row>
    <row r="18" ht="60" spans="1:9">
      <c r="A18" s="2" t="s">
        <v>9</v>
      </c>
      <c r="D18" s="4" t="s">
        <v>11</v>
      </c>
      <c r="E18" s="4" t="s">
        <v>12</v>
      </c>
      <c r="F18" s="6" t="str">
        <f>_xlfn.DISPIMG("ID_B71A65979EDA46D99BDEB52A9246DA8F",1)</f>
        <v>=DISPIMG("ID_B71A65979EDA46D99BDEB52A9246DA8F",1)</v>
      </c>
      <c r="G18" s="6">
        <v>4</v>
      </c>
      <c r="H18" s="6">
        <v>4</v>
      </c>
      <c r="I18" s="7" t="s">
        <v>29</v>
      </c>
    </row>
    <row r="19" ht="60" spans="1:9">
      <c r="A19" s="2" t="s">
        <v>9</v>
      </c>
      <c r="D19" s="4" t="s">
        <v>11</v>
      </c>
      <c r="E19" s="4" t="s">
        <v>12</v>
      </c>
      <c r="F19" s="6" t="str">
        <f>_xlfn.DISPIMG("ID_88F3DFE7ECD74C6AB569E9340E942D4F",1)</f>
        <v>=DISPIMG("ID_88F3DFE7ECD74C6AB569E9340E942D4F",1)</v>
      </c>
      <c r="G19" s="6">
        <v>4</v>
      </c>
      <c r="H19" s="6">
        <v>4</v>
      </c>
      <c r="I19" s="7" t="s">
        <v>30</v>
      </c>
    </row>
    <row r="20" ht="60" spans="1:9">
      <c r="A20" s="2" t="s">
        <v>9</v>
      </c>
      <c r="D20" s="4" t="s">
        <v>11</v>
      </c>
      <c r="E20" s="4" t="s">
        <v>12</v>
      </c>
      <c r="F20" s="6" t="str">
        <f>_xlfn.DISPIMG("ID_F3AD6CBB807F42C7925A0880B36AA995",1)</f>
        <v>=DISPIMG("ID_F3AD6CBB807F42C7925A0880B36AA995",1)</v>
      </c>
      <c r="G20" s="6">
        <v>4</v>
      </c>
      <c r="H20" s="6">
        <v>4</v>
      </c>
      <c r="I20" s="7" t="s">
        <v>31</v>
      </c>
    </row>
    <row r="21" ht="60" spans="1:9">
      <c r="A21" s="2" t="s">
        <v>9</v>
      </c>
      <c r="D21" s="4" t="s">
        <v>11</v>
      </c>
      <c r="E21" s="4" t="s">
        <v>12</v>
      </c>
      <c r="F21" s="6" t="str">
        <f>_xlfn.DISPIMG("ID_AA4AFC1176A24C2FB685DBB8130DA231",1)</f>
        <v>=DISPIMG("ID_AA4AFC1176A24C2FB685DBB8130DA231",1)</v>
      </c>
      <c r="G21" s="6">
        <v>4</v>
      </c>
      <c r="H21" s="6">
        <v>4</v>
      </c>
      <c r="I21" s="7" t="s">
        <v>32</v>
      </c>
    </row>
    <row r="22" ht="60" spans="1:9">
      <c r="A22" s="2" t="s">
        <v>9</v>
      </c>
      <c r="D22" s="4" t="s">
        <v>11</v>
      </c>
      <c r="E22" s="4" t="s">
        <v>12</v>
      </c>
      <c r="F22" s="6" t="str">
        <f>_xlfn.DISPIMG("ID_09816B96C95D4F5FB1859043E4991B6C",1)</f>
        <v>=DISPIMG("ID_09816B96C95D4F5FB1859043E4991B6C",1)</v>
      </c>
      <c r="G22" s="6">
        <v>4</v>
      </c>
      <c r="H22" s="6">
        <v>4</v>
      </c>
      <c r="I22" s="7" t="s">
        <v>33</v>
      </c>
    </row>
    <row r="23" ht="60" spans="1:9">
      <c r="A23" s="2" t="s">
        <v>9</v>
      </c>
      <c r="D23" s="4" t="s">
        <v>11</v>
      </c>
      <c r="E23" s="4" t="s">
        <v>12</v>
      </c>
      <c r="F23" s="6" t="str">
        <f>_xlfn.DISPIMG("ID_6664EE1BA83A45E4992F49BEFD219046",1)</f>
        <v>=DISPIMG("ID_6664EE1BA83A45E4992F49BEFD219046",1)</v>
      </c>
      <c r="G23" s="6">
        <v>4</v>
      </c>
      <c r="H23" s="6">
        <v>4</v>
      </c>
      <c r="I23" s="7" t="s">
        <v>34</v>
      </c>
    </row>
    <row r="24" ht="60" spans="1:9">
      <c r="A24" s="2" t="s">
        <v>9</v>
      </c>
      <c r="D24" s="4" t="s">
        <v>11</v>
      </c>
      <c r="E24" s="4" t="s">
        <v>12</v>
      </c>
      <c r="F24" s="6" t="str">
        <f>_xlfn.DISPIMG("ID_51D159E422DD4F0BA51596B89854097B",1)</f>
        <v>=DISPIMG("ID_51D159E422DD4F0BA51596B89854097B",1)</v>
      </c>
      <c r="G24" s="6">
        <v>4</v>
      </c>
      <c r="H24" s="6">
        <v>4</v>
      </c>
      <c r="I24" s="7" t="s">
        <v>35</v>
      </c>
    </row>
    <row r="25" ht="60" spans="1:9">
      <c r="A25" s="2" t="s">
        <v>9</v>
      </c>
      <c r="D25" s="4" t="s">
        <v>11</v>
      </c>
      <c r="E25" s="4" t="s">
        <v>12</v>
      </c>
      <c r="F25" s="6" t="str">
        <f>_xlfn.DISPIMG("ID_E8AE990616A8489DBC95A67B2E23E1F8",1)</f>
        <v>=DISPIMG("ID_E8AE990616A8489DBC95A67B2E23E1F8",1)</v>
      </c>
      <c r="G25" s="6">
        <v>4</v>
      </c>
      <c r="H25" s="6">
        <v>4</v>
      </c>
      <c r="I25" s="7" t="s">
        <v>36</v>
      </c>
    </row>
    <row r="26" ht="60" spans="1:9">
      <c r="A26" s="2" t="s">
        <v>9</v>
      </c>
      <c r="D26" s="4" t="s">
        <v>11</v>
      </c>
      <c r="E26" s="4" t="s">
        <v>12</v>
      </c>
      <c r="F26" s="6" t="str">
        <f>_xlfn.DISPIMG("ID_B39E9A56D2624F6BAB457C521FECF920",1)</f>
        <v>=DISPIMG("ID_B39E9A56D2624F6BAB457C521FECF920",1)</v>
      </c>
      <c r="G26" s="6">
        <v>4</v>
      </c>
      <c r="H26" s="6">
        <v>4</v>
      </c>
      <c r="I26" s="7" t="s">
        <v>37</v>
      </c>
    </row>
    <row r="27" ht="60" spans="1:9">
      <c r="A27" s="2" t="s">
        <v>9</v>
      </c>
      <c r="D27" s="4" t="s">
        <v>11</v>
      </c>
      <c r="E27" s="4" t="s">
        <v>12</v>
      </c>
      <c r="F27" s="6" t="str">
        <f>_xlfn.DISPIMG("ID_C921E512F34A43F9BCF47D4BBBC1EE20",1)</f>
        <v>=DISPIMG("ID_C921E512F34A43F9BCF47D4BBBC1EE20",1)</v>
      </c>
      <c r="G27" s="6">
        <v>4</v>
      </c>
      <c r="H27" s="6">
        <v>4</v>
      </c>
      <c r="I27" s="7" t="s">
        <v>38</v>
      </c>
    </row>
    <row r="28" ht="60" spans="1:9">
      <c r="A28" s="2" t="s">
        <v>9</v>
      </c>
      <c r="D28" s="4" t="s">
        <v>11</v>
      </c>
      <c r="E28" s="4" t="s">
        <v>12</v>
      </c>
      <c r="F28" s="6" t="str">
        <f>_xlfn.DISPIMG("ID_D78280F9D3DA495183E029B40DD2AD77",1)</f>
        <v>=DISPIMG("ID_D78280F9D3DA495183E029B40DD2AD77",1)</v>
      </c>
      <c r="G28" s="6">
        <v>4</v>
      </c>
      <c r="H28" s="6">
        <v>4</v>
      </c>
      <c r="I28" s="7" t="s">
        <v>39</v>
      </c>
    </row>
    <row r="29" ht="60" spans="1:9">
      <c r="A29" s="2" t="s">
        <v>9</v>
      </c>
      <c r="D29" s="4" t="s">
        <v>11</v>
      </c>
      <c r="E29" s="4" t="s">
        <v>12</v>
      </c>
      <c r="F29" s="6" t="str">
        <f>_xlfn.DISPIMG("ID_B1D02B100FD44D4C86C4DAC7FA1EAFAA",1)</f>
        <v>=DISPIMG("ID_B1D02B100FD44D4C86C4DAC7FA1EAFAA",1)</v>
      </c>
      <c r="G29" s="6">
        <v>4</v>
      </c>
      <c r="H29" s="6">
        <v>4</v>
      </c>
      <c r="I29" s="7" t="s">
        <v>40</v>
      </c>
    </row>
    <row r="30" ht="60" spans="1:9">
      <c r="A30" s="2" t="s">
        <v>9</v>
      </c>
      <c r="D30" s="4" t="s">
        <v>11</v>
      </c>
      <c r="E30" s="4" t="s">
        <v>12</v>
      </c>
      <c r="F30" s="6" t="str">
        <f>_xlfn.DISPIMG("ID_2BA4BC2232CB4AB69FE1C1883DDFD0BA",1)</f>
        <v>=DISPIMG("ID_2BA4BC2232CB4AB69FE1C1883DDFD0BA",1)</v>
      </c>
      <c r="G30" s="6">
        <v>4</v>
      </c>
      <c r="H30" s="6">
        <v>4</v>
      </c>
      <c r="I30" s="7" t="s">
        <v>41</v>
      </c>
    </row>
    <row r="31" ht="60" spans="1:9">
      <c r="A31" s="2" t="s">
        <v>9</v>
      </c>
      <c r="D31" s="4" t="s">
        <v>11</v>
      </c>
      <c r="E31" s="4" t="s">
        <v>12</v>
      </c>
      <c r="F31" s="6" t="str">
        <f>_xlfn.DISPIMG("ID_D367CE91EA5D470C82CADEEADAD7B130",1)</f>
        <v>=DISPIMG("ID_D367CE91EA5D470C82CADEEADAD7B130",1)</v>
      </c>
      <c r="G31" s="6">
        <v>4</v>
      </c>
      <c r="H31" s="6">
        <v>4</v>
      </c>
      <c r="I31" s="7" t="s">
        <v>42</v>
      </c>
    </row>
  </sheetData>
  <pageMargins left="0.7" right="0.7" top="0.75" bottom="0.75" header="0.3" footer="0.3"/>
  <headerFooter/>
  <ignoredErrors>
    <ignoredError sqref="E2:E3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试题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18379146155</cp:lastModifiedBy>
  <dcterms:created xsi:type="dcterms:W3CDTF">2026-03-04T07:00:00Z</dcterms:created>
  <dcterms:modified xsi:type="dcterms:W3CDTF">2026-04-02T01:35:17Z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7F229BA6E260401CB3A7E7456A888809_13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