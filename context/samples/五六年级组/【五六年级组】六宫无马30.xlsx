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试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7" name="ID_4A705E628730456590887F4416C7FED4" descr="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48425" y="9661525"/>
          <a:ext cx="2257425" cy="2257425"/>
        </a:xfrm>
        <a:prstGeom prst="rect">
          <a:avLst/>
        </a:prstGeom>
      </xdr:spPr>
    </xdr:pic>
  </etc:cellImage>
  <etc:cellImage>
    <xdr:pic>
      <xdr:nvPicPr>
        <xdr:cNvPr id="45" name="ID_66ECF7A4DC0749918E2E14428A77BBA4" descr="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48425" y="5851525"/>
          <a:ext cx="2219960" cy="2219960"/>
        </a:xfrm>
        <a:prstGeom prst="rect">
          <a:avLst/>
        </a:prstGeom>
      </xdr:spPr>
    </xdr:pic>
  </etc:cellImage>
  <etc:cellImage>
    <xdr:pic>
      <xdr:nvPicPr>
        <xdr:cNvPr id="44" name="ID_FDB566B4522D467D8F822A1D9B17EC68" descr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48425" y="2035175"/>
          <a:ext cx="2438400" cy="2444750"/>
        </a:xfrm>
        <a:prstGeom prst="rect">
          <a:avLst/>
        </a:prstGeom>
      </xdr:spPr>
    </xdr:pic>
  </etc:cellImage>
  <etc:cellImage>
    <xdr:pic>
      <xdr:nvPicPr>
        <xdr:cNvPr id="51" name="ID_63F69203E654405986016E5761084719" descr="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50965" y="15375890"/>
          <a:ext cx="2700020" cy="2700020"/>
        </a:xfrm>
        <a:prstGeom prst="rect">
          <a:avLst/>
        </a:prstGeom>
      </xdr:spPr>
    </xdr:pic>
  </etc:cellImage>
  <etc:cellImage>
    <xdr:pic>
      <xdr:nvPicPr>
        <xdr:cNvPr id="48" name="ID_60ABF1766BE54B3D90E9DA13E4816C2B" descr="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48425" y="7756525"/>
          <a:ext cx="2057400" cy="2057400"/>
        </a:xfrm>
        <a:prstGeom prst="rect">
          <a:avLst/>
        </a:prstGeom>
      </xdr:spPr>
    </xdr:pic>
  </etc:cellImage>
  <etc:cellImage>
    <xdr:pic>
      <xdr:nvPicPr>
        <xdr:cNvPr id="46" name="ID_A97B7E3EC8E24DD2AFB61A756EE6A719" descr="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48425" y="3946525"/>
          <a:ext cx="2429510" cy="2429510"/>
        </a:xfrm>
        <a:prstGeom prst="rect">
          <a:avLst/>
        </a:prstGeom>
      </xdr:spPr>
    </xdr:pic>
  </etc:cellImage>
  <etc:cellImage>
    <xdr:pic>
      <xdr:nvPicPr>
        <xdr:cNvPr id="49" name="ID_5CB6D6DD2D4F433C9F67A249EA6589D8" descr="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48425" y="13471525"/>
          <a:ext cx="1962150" cy="1962150"/>
        </a:xfrm>
        <a:prstGeom prst="rect">
          <a:avLst/>
        </a:prstGeom>
      </xdr:spPr>
    </xdr:pic>
  </etc:cellImage>
  <etc:cellImage>
    <xdr:pic>
      <xdr:nvPicPr>
        <xdr:cNvPr id="52" name="ID_BFA8F62ADD3948DD853280A5AE5318BA" descr="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48425" y="17281525"/>
          <a:ext cx="2010410" cy="2010410"/>
        </a:xfrm>
        <a:prstGeom prst="rect">
          <a:avLst/>
        </a:prstGeom>
      </xdr:spPr>
    </xdr:pic>
  </etc:cellImage>
  <etc:cellImage>
    <xdr:pic>
      <xdr:nvPicPr>
        <xdr:cNvPr id="50" name="ID_F9657FA8FF92488EA6E19A3A6B3209D6" descr="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48425" y="11566525"/>
          <a:ext cx="2381250" cy="2381250"/>
        </a:xfrm>
        <a:prstGeom prst="rect">
          <a:avLst/>
        </a:prstGeom>
      </xdr:spPr>
    </xdr:pic>
  </etc:cellImage>
  <etc:cellImage>
    <xdr:pic>
      <xdr:nvPicPr>
        <xdr:cNvPr id="54" name="ID_F9F8697707604756BF396AF8659D7D42" descr="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448425" y="21091525"/>
          <a:ext cx="2124710" cy="2124710"/>
        </a:xfrm>
        <a:prstGeom prst="rect">
          <a:avLst/>
        </a:prstGeom>
      </xdr:spPr>
    </xdr:pic>
  </etc:cellImage>
  <etc:cellImage>
    <xdr:pic>
      <xdr:nvPicPr>
        <xdr:cNvPr id="53" name="ID_CEC773F7FB934D7898E235E9F88AB530" descr="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450965" y="19185890"/>
          <a:ext cx="2926080" cy="2926080"/>
        </a:xfrm>
        <a:prstGeom prst="rect">
          <a:avLst/>
        </a:prstGeom>
      </xdr:spPr>
    </xdr:pic>
  </etc:cellImage>
  <etc:cellImage>
    <xdr:pic>
      <xdr:nvPicPr>
        <xdr:cNvPr id="231" name="ID_7B0009433FB94043B1B1C4E270298E18" descr="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362825" y="19186525"/>
          <a:ext cx="3296285" cy="3296285"/>
        </a:xfrm>
        <a:prstGeom prst="rect">
          <a:avLst/>
        </a:prstGeom>
      </xdr:spPr>
    </xdr:pic>
  </etc:cellImage>
  <etc:cellImage>
    <xdr:pic>
      <xdr:nvPicPr>
        <xdr:cNvPr id="55" name="ID_88432BC5CC304406A8CF7580F4CA2819" descr="1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448425" y="22996525"/>
          <a:ext cx="2143125" cy="2143125"/>
        </a:xfrm>
        <a:prstGeom prst="rect">
          <a:avLst/>
        </a:prstGeom>
      </xdr:spPr>
    </xdr:pic>
  </etc:cellImage>
  <etc:cellImage>
    <xdr:pic>
      <xdr:nvPicPr>
        <xdr:cNvPr id="57" name="ID_F26A3BAF58014CD78AB748799580C6E6" descr="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448425" y="26806525"/>
          <a:ext cx="2038985" cy="2038985"/>
        </a:xfrm>
        <a:prstGeom prst="rect">
          <a:avLst/>
        </a:prstGeom>
      </xdr:spPr>
    </xdr:pic>
  </etc:cellImage>
  <etc:cellImage>
    <xdr:pic>
      <xdr:nvPicPr>
        <xdr:cNvPr id="56" name="ID_CEB33D9F0E674012A29B8876C29D2AE5" descr="1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448425" y="24901525"/>
          <a:ext cx="2000250" cy="2000250"/>
        </a:xfrm>
        <a:prstGeom prst="rect">
          <a:avLst/>
        </a:prstGeom>
      </xdr:spPr>
    </xdr:pic>
  </etc:cellImage>
  <etc:cellImage>
    <xdr:pic>
      <xdr:nvPicPr>
        <xdr:cNvPr id="58" name="ID_99CD0AC230FE4EA3BC10CA3A0B59A67D" descr="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48425" y="28711525"/>
          <a:ext cx="2048510" cy="2048510"/>
        </a:xfrm>
        <a:prstGeom prst="rect">
          <a:avLst/>
        </a:prstGeom>
      </xdr:spPr>
    </xdr:pic>
  </etc:cellImage>
  <etc:cellImage>
    <xdr:pic>
      <xdr:nvPicPr>
        <xdr:cNvPr id="60" name="ID_4DA2FB8FDC6E4E7B955B8FBE6AFECA55" descr="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448425" y="32521525"/>
          <a:ext cx="1914525" cy="1914525"/>
        </a:xfrm>
        <a:prstGeom prst="rect">
          <a:avLst/>
        </a:prstGeom>
      </xdr:spPr>
    </xdr:pic>
  </etc:cellImage>
  <etc:cellImage>
    <xdr:pic>
      <xdr:nvPicPr>
        <xdr:cNvPr id="59" name="ID_74220527D46A4A6C89005B703C67EB81" descr="1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448425" y="30616525"/>
          <a:ext cx="1962150" cy="1962150"/>
        </a:xfrm>
        <a:prstGeom prst="rect">
          <a:avLst/>
        </a:prstGeom>
      </xdr:spPr>
    </xdr:pic>
  </etc:cellImage>
  <etc:cellImage>
    <xdr:pic>
      <xdr:nvPicPr>
        <xdr:cNvPr id="225" name="ID_1539B13F3F6C44E081A629F930AB00F9" descr="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362825" y="7756525"/>
          <a:ext cx="3513455" cy="3513455"/>
        </a:xfrm>
        <a:prstGeom prst="rect">
          <a:avLst/>
        </a:prstGeom>
      </xdr:spPr>
    </xdr:pic>
  </etc:cellImage>
  <etc:cellImage>
    <xdr:pic>
      <xdr:nvPicPr>
        <xdr:cNvPr id="61" name="ID_215CA3EF38FD4740B372E5CE4CF3BAC9" descr="1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48425" y="34426525"/>
          <a:ext cx="1962150" cy="1962150"/>
        </a:xfrm>
        <a:prstGeom prst="rect">
          <a:avLst/>
        </a:prstGeom>
      </xdr:spPr>
    </xdr:pic>
  </etc:cellImage>
  <etc:cellImage>
    <xdr:pic>
      <xdr:nvPicPr>
        <xdr:cNvPr id="228" name="ID_2E4AB86341624EB4AF89255999069339" descr="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362825" y="11566525"/>
          <a:ext cx="3695700" cy="3695700"/>
        </a:xfrm>
        <a:prstGeom prst="rect">
          <a:avLst/>
        </a:prstGeom>
      </xdr:spPr>
    </xdr:pic>
  </etc:cellImage>
  <etc:cellImage>
    <xdr:pic>
      <xdr:nvPicPr>
        <xdr:cNvPr id="62" name="ID_1532FF5BD3CE4B30AD42B819F8EC3A22" descr="1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448425" y="36331525"/>
          <a:ext cx="2048510" cy="2048510"/>
        </a:xfrm>
        <a:prstGeom prst="rect">
          <a:avLst/>
        </a:prstGeom>
      </xdr:spPr>
    </xdr:pic>
  </etc:cellImage>
  <etc:cellImage>
    <xdr:pic>
      <xdr:nvPicPr>
        <xdr:cNvPr id="63" name="ID_9B6473326D054AD6B8BBB0EE76CE1282" descr="2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449060" y="38235890"/>
          <a:ext cx="2075815" cy="2077085"/>
        </a:xfrm>
        <a:prstGeom prst="rect">
          <a:avLst/>
        </a:prstGeom>
      </xdr:spPr>
    </xdr:pic>
  </etc:cellImage>
  <etc:cellImage>
    <xdr:pic>
      <xdr:nvPicPr>
        <xdr:cNvPr id="223" name="ID_406629C50EBA452CA58A2FB4092F3E39" descr="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362825" y="2035175"/>
          <a:ext cx="3362960" cy="3369310"/>
        </a:xfrm>
        <a:prstGeom prst="rect">
          <a:avLst/>
        </a:prstGeom>
      </xdr:spPr>
    </xdr:pic>
  </etc:cellImage>
  <etc:cellImage>
    <xdr:pic>
      <xdr:nvPicPr>
        <xdr:cNvPr id="222" name="ID_DD792E9D21DA485A8AA3EE35C01BE622" descr="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362825" y="3946525"/>
          <a:ext cx="3696335" cy="3696335"/>
        </a:xfrm>
        <a:prstGeom prst="rect">
          <a:avLst/>
        </a:prstGeom>
      </xdr:spPr>
    </xdr:pic>
  </etc:cellImage>
  <etc:cellImage>
    <xdr:pic>
      <xdr:nvPicPr>
        <xdr:cNvPr id="226" name="ID_8B138C8654A84612A1D689DDC6860C74" descr="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362825" y="5851525"/>
          <a:ext cx="3535045" cy="3535045"/>
        </a:xfrm>
        <a:prstGeom prst="rect">
          <a:avLst/>
        </a:prstGeom>
      </xdr:spPr>
    </xdr:pic>
  </etc:cellImage>
  <etc:cellImage>
    <xdr:pic>
      <xdr:nvPicPr>
        <xdr:cNvPr id="224" name="ID_FD3876D67D2141C88EB798658F85ED2D" descr="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362825" y="9661525"/>
          <a:ext cx="3599180" cy="3599180"/>
        </a:xfrm>
        <a:prstGeom prst="rect">
          <a:avLst/>
        </a:prstGeom>
      </xdr:spPr>
    </xdr:pic>
  </etc:cellImage>
  <etc:cellImage>
    <xdr:pic>
      <xdr:nvPicPr>
        <xdr:cNvPr id="227" name="ID_F9105EC5E3C7417FAB0D7DA3ED481C2E" descr="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362825" y="13471525"/>
          <a:ext cx="3610610" cy="3610610"/>
        </a:xfrm>
        <a:prstGeom prst="rect">
          <a:avLst/>
        </a:prstGeom>
      </xdr:spPr>
    </xdr:pic>
  </etc:cellImage>
  <etc:cellImage>
    <xdr:pic>
      <xdr:nvPicPr>
        <xdr:cNvPr id="229" name="ID_08CF3B585491437486AFB77221F9380A" descr="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362825" y="15376525"/>
          <a:ext cx="3552190" cy="3552190"/>
        </a:xfrm>
        <a:prstGeom prst="rect">
          <a:avLst/>
        </a:prstGeom>
      </xdr:spPr>
    </xdr:pic>
  </etc:cellImage>
  <etc:cellImage>
    <xdr:pic>
      <xdr:nvPicPr>
        <xdr:cNvPr id="230" name="ID_1B149448C39948B58365F4B4591A4981" descr="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362825" y="17281525"/>
          <a:ext cx="3362325" cy="33623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<sst xmlns="http://schemas.openxmlformats.org/spreadsheetml/2006/main" count="100" uniqueCount="42">
  <si>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</si>
  <si>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</si>
  <si>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</si>
  <si>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</si>
  <si>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</si>
  <si>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</si>
  <si>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</si>
  <si>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</si>
  <si>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</si>
  <si>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t>将数字1-6填入空格，使每行、每列、每宫均不重复。彼此形成国际象棋中马步位置（二拐一）关系的两格内不能出现相同数字。</t>
  </si>
  <si>
    <t/>
  </si>
  <si>
    <t>六宫无马数独</t>
  </si>
  <si>
    <t>[1,,,4,3,5],
[4,3,5,1,6,2],
[3,5,,6,2,4],
[6,2,4,,5,],
[2,4,3,5,1,],
[,1,6,2,4,3]</t>
  </si>
  <si>
    <t>[2,,4,1,6,5],
[,6,5,,3,4],
[6,1,2,5,,3],
[5,,3,6,1,2],
[4,5,,3,2,],
[3,2,1,4,,6]</t>
  </si>
  <si>
    <t>[,1,3,5,6,4],
[5,6,4,2,,3],
[6,5,2,,3,1],
[4,3,,6,5,2],
[,4,6,1,2,5],
[1,2,5,3,4,]</t>
  </si>
  <si>
    <t>[4,5,,,3,2],
[6,3,2,4,5,1],
[,6,3,2,4,],
[,4,5,1,6,],
[3,2,4,5,1,6],
[5,1,,,2,4]</t>
  </si>
  <si>
    <t>[4,2,,,5,6],
[,5,3,1,2,],
[1,3,5,6,4,2],
[2,4,6,5,3,1],
[,6,4,2,1,],
[3,1,,,6,5]</t>
  </si>
  <si>
    <t>[1,2,6,,3,4],
[5,3,,6,2,1],
[6,5,3,4,1,],
[4,1,2,3,5,],
[3,4,,2,6,5],
[2,6,5,,4,3]</t>
  </si>
  <si>
    <t>[3,1,,,6,5],
[4,6,5,3,1,2],
[,4,6,5,3,],
[,3,1,2,4,],
[6,5,3,1,2,4],
[1,2,,,5,3]</t>
  </si>
  <si>
    <t>[6,,5,1,,4],
[,2,4,6,3,],
[2,1,6,4,5,3],
[,5,3,2,1,],
[5,4,,,6,1],
[3,6,1,5,4,2]</t>
  </si>
  <si>
    <t>[,,6,3,2,1],
[1,2,3,4,5,],
[6,3,2,,4,5],
[5,4,,6,3,2],
[,1,4,5,6,3],
[3,6,5,2,,]</t>
  </si>
  <si>
    <t>[3,,5,4,,1],
[4,6,1,5,2,3],
[5,4,6,1,3,2],
[,3,2,6,4,],
[6,1,,,5,4],
[2,5,4,3,1,6]</t>
  </si>
  <si>
    <t>[2,,5,,4,3],
[6,4,3,2,1,],
[,3,2,1,5,6],
[1,5,6,4,3,],
[,6,4,3,2,1],
[3,2,,5,,4]</t>
  </si>
  <si>
    <t>[,4,5,1,6,2],
[2,6,1,3,,5],
[6,1,3,,5,4],
[4,5,,6,1,3],
[,2,6,4,3,1],
[1,3,4,5,2,]</t>
  </si>
  <si>
    <t>[,4,1,6,,2],
[,5,2,1,4,3],
[1,6,5,,3,4],
[2,3,,5,6,1],
[5,2,3,4,1,],
[4,,6,3,2,]</t>
  </si>
  <si>
    <t>[5,6,,,2,],
[4,2,1,3,6,5],
[,4,5,6,3,1],
[,3,6,,4,2],
[3,1,2,4,5,6],
[,5,4,2,1,3]</t>
  </si>
  <si>
    <t>[,3,2,6,,5],
[,1,5,2,3,4],
[1,6,4,,2,3],
[5,2,,4,6,1],
[2,5,1,3,4,],
[3,,6,1,5,]</t>
  </si>
  <si>
    <t>[3,,,5,6,4],
[4,6,5,2,1,],
[2,4,6,1,3,],
[,3,1,6,4,2],
[,5,3,4,2,1],
[1,2,4,,,6]</t>
  </si>
  <si>
    <t>[6,,2,4,,5],
[,1,4,6,3,],
[2,4,1,5,6,3],
[3,6,5,2,4,1],
[,5,6,3,2,],
[4,,3,1,,6]</t>
  </si>
  <si>
    <t>[4,6,5,3,2,1],
[1,2,3,5,6,4],
[,3,2,1,4,],
[6,4,1,2,3,5],
[2,1,,,5,3],
[,5,6,4,1,]</t>
  </si>
  <si>
    <t>[4,2,,6,5,3],
[3,5,,4,2,1],
[,,4,2,1,6],
[6,1,2,5,,],
[1,6,5,,4,2],
[2,4,3,,6,5]</t>
  </si>
  <si>
    <t>[2,4,6,,3,5],
[,3,1,6,4,2],
[3,1,2,5,6,],
[4,6,5,2,1,],
[,5,3,4,2,1],
[1,2,4,,5,6]</t>
  </si>
  <si>
    <t>[4,,3,1,2,],
[,2,1,4,5,3],
[2,6,,5,3,1],
[1,3,5,,6,],
[3,1,2,6,4,5],
[,4,6,,1,2]</t>
  </si>
  <si>
    <t>[6,2,,,3,1],
[5,3,1,6,2,4],
[,5,6,1,4,],
[,4,2,3,5,],
[4,1,3,2,6,5],
[2,6,,,1,3]</t>
  </si>
  <si>
    <t>[2,1,4,,,5],
[6,3,5,4,1,2],
[4,5,3,1,2,],
[,2,6,3,5,],
[,6,2,5,4,1],
[5,4,,,6,3]</t>
  </si>
  <si>
    <t>[,2,,,6,3],
[5,6,3,1,2,4],
[4,5,6,3,1,],
[,1,2,4,5,],
[6,3,1,2,4,5],
[2,4,,6,3,]</t>
  </si>
  <si>
    <t>[4,,,5,3,6],
[5,3,6,4,1,2],
[,6,4,1,2,5],
[1,2,5,3,6,],
[2,5,3,6,4,],
[,4,1,,5,3]</t>
  </si>
  <si>
    <t>[,4,,1,3,2],
[1,3,2,6,4,5],
[3,2,5,4,6,1],
[,6,1,5,2,3],
[6,,3,,5,4],
[2,5,4,3,1,]</t>
  </si>
  <si>
    <t>[6,2,5,,1,4],
[3,1,,6,2,5],
[5,3,1,4,6,],
[4,6,2,5,3,],
[1,4,,2,5,3],
[2,5,3,,4,6]</t>
  </si>
  <si>
    <t>[5,,2,6,,3],
[,4,6,2,1,],
[4,6,5,3,2,1],
[1,2,3,5,6,4],
[,3,4,1,5,],
[6,,1,4,,2]</t>
  </si>
  <si>
    <t>[4,3,,6,2,5],
[6,2,5,1,3,],
[,6,4,5,1,3],
[,1,3,4,6,2],
[1,5,2,3,4,],
[3,4,,2,5,1]</t>
  </si>
  <si>
    <t>[5,1,3,2,,],
[,6,4,5,1,3],
[6,2,,4,3,1],
[4,3,1,,2,5],
[3,4,6,1,5,],
[,,2,3,4,6]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</si>
</sst>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="175" zoomScaleNormal="175" topLeftCell="B1" workbookViewId="0">
      <pane ySplit="1" topLeftCell="A10" activePane="bottomLeft" state="frozen"/>
      <selection/>
      <selection pane="bottomLeft" activeCell="B12" sqref="$A12:$XFD12"/>
    </sheetView>
  </sheetViews>
  <sheetFormatPr defaultColWidth="9" defaultRowHeight="13.5"/>
  <cols>
    <col min="1" max="1" width="50" customWidth="1"/>
    <col min="2" max="3" width="20" customWidth="1"/>
    <col min="4" max="5" width="15" customWidth="1"/>
    <col min="6" max="6" width="10" customWidth="1"/>
    <col min="7" max="9" width="15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1" customHeight="1" spans="1:9">
      <c r="A2" s="2" t="s">
        <v>9</v>
      </c>
      <c r="B2" s="3" t="s">
        <v>10</v>
      </c>
      <c r="D2" s="2" t="s">
        <v>11</v>
      </c>
      <c r="E2" s="4">
        <v>5</v>
      </c>
      <c r="F2" s="5" t="str">
        <f>_xlfn.DISPIMG("ID_FDB566B4522D467D8F822A1D9B17EC68",1)</f>
        <v>=DISPIMG("ID_FDB566B4522D467D8F822A1D9B17EC68",1)</v>
      </c>
      <c r="G2" s="4">
        <v>6</v>
      </c>
      <c r="H2" s="4">
        <v>6</v>
      </c>
      <c r="I2" s="6" t="s">
        <v>12</v>
      </c>
    </row>
    <row r="3" ht="81" spans="1:9">
      <c r="A3" s="2" t="s">
        <v>9</v>
      </c>
      <c r="D3" s="2" t="s">
        <v>11</v>
      </c>
      <c r="E3" s="4">
        <v>5</v>
      </c>
      <c r="F3" s="5" t="str">
        <f>_xlfn.DISPIMG("ID_A97B7E3EC8E24DD2AFB61A756EE6A719",1)</f>
        <v>=DISPIMG("ID_A97B7E3EC8E24DD2AFB61A756EE6A719",1)</v>
      </c>
      <c r="G3" s="4">
        <v>6</v>
      </c>
      <c r="H3" s="4">
        <v>6</v>
      </c>
      <c r="I3" s="6" t="s">
        <v>13</v>
      </c>
    </row>
    <row r="4" ht="81" spans="1:9">
      <c r="A4" s="2" t="s">
        <v>9</v>
      </c>
      <c r="D4" s="2" t="s">
        <v>11</v>
      </c>
      <c r="E4" s="4">
        <v>5</v>
      </c>
      <c r="F4" s="5" t="str">
        <f>_xlfn.DISPIMG("ID_66ECF7A4DC0749918E2E14428A77BBA4",1)</f>
        <v>=DISPIMG("ID_66ECF7A4DC0749918E2E14428A77BBA4",1)</v>
      </c>
      <c r="G4" s="4">
        <v>6</v>
      </c>
      <c r="H4" s="4">
        <v>6</v>
      </c>
      <c r="I4" s="6" t="s">
        <v>14</v>
      </c>
    </row>
    <row r="5" ht="81" spans="1:9">
      <c r="A5" s="2" t="s">
        <v>9</v>
      </c>
      <c r="D5" s="2" t="s">
        <v>11</v>
      </c>
      <c r="E5" s="4">
        <v>5</v>
      </c>
      <c r="F5" s="5" t="str">
        <f>_xlfn.DISPIMG("ID_60ABF1766BE54B3D90E9DA13E4816C2B",1)</f>
        <v>=DISPIMG("ID_60ABF1766BE54B3D90E9DA13E4816C2B",1)</v>
      </c>
      <c r="G5" s="4">
        <v>6</v>
      </c>
      <c r="H5" s="4">
        <v>6</v>
      </c>
      <c r="I5" s="6" t="s">
        <v>15</v>
      </c>
    </row>
    <row r="6" ht="81" spans="1:9">
      <c r="A6" s="2" t="s">
        <v>9</v>
      </c>
      <c r="D6" s="2" t="s">
        <v>11</v>
      </c>
      <c r="E6" s="4">
        <v>5</v>
      </c>
      <c r="F6" s="5" t="str">
        <f>_xlfn.DISPIMG("ID_4A705E628730456590887F4416C7FED4",1)</f>
        <v>=DISPIMG("ID_4A705E628730456590887F4416C7FED4",1)</v>
      </c>
      <c r="G6" s="4">
        <v>6</v>
      </c>
      <c r="H6" s="4">
        <v>6</v>
      </c>
      <c r="I6" s="6" t="s">
        <v>16</v>
      </c>
    </row>
    <row r="7" ht="81" spans="1:9">
      <c r="A7" s="2" t="s">
        <v>9</v>
      </c>
      <c r="D7" s="2" t="s">
        <v>11</v>
      </c>
      <c r="E7" s="4">
        <v>5</v>
      </c>
      <c r="F7" s="5" t="str">
        <f>_xlfn.DISPIMG("ID_F9657FA8FF92488EA6E19A3A6B3209D6",1)</f>
        <v>=DISPIMG("ID_F9657FA8FF92488EA6E19A3A6B3209D6",1)</v>
      </c>
      <c r="G7" s="4">
        <v>6</v>
      </c>
      <c r="H7" s="4">
        <v>6</v>
      </c>
      <c r="I7" s="6" t="s">
        <v>17</v>
      </c>
    </row>
    <row r="8" ht="81" spans="1:9">
      <c r="A8" s="2" t="s">
        <v>9</v>
      </c>
      <c r="D8" s="2" t="s">
        <v>11</v>
      </c>
      <c r="E8" s="4">
        <v>5</v>
      </c>
      <c r="F8" s="5" t="str">
        <f>_xlfn.DISPIMG("ID_5CB6D6DD2D4F433C9F67A249EA6589D8",1)</f>
        <v>=DISPIMG("ID_5CB6D6DD2D4F433C9F67A249EA6589D8",1)</v>
      </c>
      <c r="G8" s="4">
        <v>6</v>
      </c>
      <c r="H8" s="4">
        <v>6</v>
      </c>
      <c r="I8" s="6" t="s">
        <v>18</v>
      </c>
    </row>
    <row r="9" ht="81" spans="1:9">
      <c r="A9" s="2" t="s">
        <v>9</v>
      </c>
      <c r="D9" s="2" t="s">
        <v>11</v>
      </c>
      <c r="E9" s="4">
        <v>5</v>
      </c>
      <c r="F9" s="5" t="str">
        <f>_xlfn.DISPIMG("ID_63F69203E654405986016E5761084719",1)</f>
        <v>=DISPIMG("ID_63F69203E654405986016E5761084719",1)</v>
      </c>
      <c r="G9" s="4">
        <v>6</v>
      </c>
      <c r="H9" s="4">
        <v>6</v>
      </c>
      <c r="I9" s="6" t="s">
        <v>19</v>
      </c>
    </row>
    <row r="10" ht="81" spans="1:9">
      <c r="A10" s="2" t="s">
        <v>9</v>
      </c>
      <c r="D10" s="2" t="s">
        <v>11</v>
      </c>
      <c r="E10" s="4">
        <v>5</v>
      </c>
      <c r="F10" s="5" t="str">
        <f>_xlfn.DISPIMG("ID_BFA8F62ADD3948DD853280A5AE5318BA",1)</f>
        <v>=DISPIMG("ID_BFA8F62ADD3948DD853280A5AE5318BA",1)</v>
      </c>
      <c r="G10" s="4">
        <v>6</v>
      </c>
      <c r="H10" s="4">
        <v>6</v>
      </c>
      <c r="I10" s="6" t="s">
        <v>20</v>
      </c>
    </row>
    <row r="11" ht="81" spans="1:9">
      <c r="A11" s="2" t="s">
        <v>9</v>
      </c>
      <c r="D11" s="2" t="s">
        <v>11</v>
      </c>
      <c r="E11" s="4">
        <v>5</v>
      </c>
      <c r="F11" s="5" t="str">
        <f>_xlfn.DISPIMG("ID_CEC773F7FB934D7898E235E9F88AB530",1)</f>
        <v>=DISPIMG("ID_CEC773F7FB934D7898E235E9F88AB530",1)</v>
      </c>
      <c r="G11" s="4">
        <v>6</v>
      </c>
      <c r="H11" s="4">
        <v>6</v>
      </c>
      <c r="I11" s="6" t="s">
        <v>21</v>
      </c>
    </row>
    <row r="12" ht="81" spans="1:9">
      <c r="A12" s="2" t="s">
        <v>9</v>
      </c>
      <c r="D12" s="2" t="s">
        <v>11</v>
      </c>
      <c r="E12" s="4">
        <v>5</v>
      </c>
      <c r="F12" s="5" t="str">
        <f>_xlfn.DISPIMG("ID_F9F8697707604756BF396AF8659D7D42",1)</f>
        <v>=DISPIMG("ID_F9F8697707604756BF396AF8659D7D42",1)</v>
      </c>
      <c r="G12" s="4">
        <v>6</v>
      </c>
      <c r="H12" s="4">
        <v>6</v>
      </c>
      <c r="I12" s="6" t="s">
        <v>22</v>
      </c>
    </row>
    <row r="13" ht="81" spans="1:9">
      <c r="A13" s="2" t="s">
        <v>9</v>
      </c>
      <c r="D13" s="2" t="s">
        <v>11</v>
      </c>
      <c r="E13" s="4">
        <v>5</v>
      </c>
      <c r="F13" s="5" t="str">
        <f>_xlfn.DISPIMG("ID_88432BC5CC304406A8CF7580F4CA2819",1)</f>
        <v>=DISPIMG("ID_88432BC5CC304406A8CF7580F4CA2819",1)</v>
      </c>
      <c r="G13" s="4">
        <v>6</v>
      </c>
      <c r="H13" s="4">
        <v>6</v>
      </c>
      <c r="I13" s="6" t="s">
        <v>23</v>
      </c>
    </row>
    <row r="14" ht="81" spans="1:9">
      <c r="A14" s="2" t="s">
        <v>9</v>
      </c>
      <c r="D14" s="2" t="s">
        <v>11</v>
      </c>
      <c r="E14" s="4">
        <v>5</v>
      </c>
      <c r="F14" s="5" t="str">
        <f>_xlfn.DISPIMG("ID_CEB33D9F0E674012A29B8876C29D2AE5",1)</f>
        <v>=DISPIMG("ID_CEB33D9F0E674012A29B8876C29D2AE5",1)</v>
      </c>
      <c r="G14" s="4">
        <v>6</v>
      </c>
      <c r="H14" s="4">
        <v>6</v>
      </c>
      <c r="I14" s="6" t="s">
        <v>24</v>
      </c>
    </row>
    <row r="15" ht="81" spans="1:9">
      <c r="A15" s="2" t="s">
        <v>9</v>
      </c>
      <c r="D15" s="2" t="s">
        <v>11</v>
      </c>
      <c r="E15" s="4">
        <v>5</v>
      </c>
      <c r="F15" s="5" t="str">
        <f>_xlfn.DISPIMG("ID_F26A3BAF58014CD78AB748799580C6E6",1)</f>
        <v>=DISPIMG("ID_F26A3BAF58014CD78AB748799580C6E6",1)</v>
      </c>
      <c r="G15" s="4">
        <v>6</v>
      </c>
      <c r="H15" s="4">
        <v>6</v>
      </c>
      <c r="I15" s="6" t="s">
        <v>25</v>
      </c>
    </row>
    <row r="16" ht="81" spans="1:9">
      <c r="A16" s="2" t="s">
        <v>9</v>
      </c>
      <c r="D16" s="2" t="s">
        <v>11</v>
      </c>
      <c r="E16" s="4">
        <v>5</v>
      </c>
      <c r="F16" s="5" t="str">
        <f>_xlfn.DISPIMG("ID_99CD0AC230FE4EA3BC10CA3A0B59A67D",1)</f>
        <v>=DISPIMG("ID_99CD0AC230FE4EA3BC10CA3A0B59A67D",1)</v>
      </c>
      <c r="G16" s="4">
        <v>6</v>
      </c>
      <c r="H16" s="4">
        <v>6</v>
      </c>
      <c r="I16" s="6" t="s">
        <v>26</v>
      </c>
    </row>
    <row r="17" ht="81" spans="1:9">
      <c r="A17" s="2" t="s">
        <v>9</v>
      </c>
      <c r="D17" s="2" t="s">
        <v>11</v>
      </c>
      <c r="E17" s="4">
        <v>5</v>
      </c>
      <c r="F17" s="5" t="str">
        <f>_xlfn.DISPIMG("ID_74220527D46A4A6C89005B703C67EB81",1)</f>
        <v>=DISPIMG("ID_74220527D46A4A6C89005B703C67EB81",1)</v>
      </c>
      <c r="G17" s="4">
        <v>6</v>
      </c>
      <c r="H17" s="4">
        <v>6</v>
      </c>
      <c r="I17" s="6" t="s">
        <v>27</v>
      </c>
    </row>
    <row r="18" ht="81" spans="1:9">
      <c r="A18" s="2" t="s">
        <v>9</v>
      </c>
      <c r="D18" s="2" t="s">
        <v>11</v>
      </c>
      <c r="E18" s="4">
        <v>5</v>
      </c>
      <c r="F18" s="5" t="str">
        <f>_xlfn.DISPIMG("ID_4DA2FB8FDC6E4E7B955B8FBE6AFECA55",1)</f>
        <v>=DISPIMG("ID_4DA2FB8FDC6E4E7B955B8FBE6AFECA55",1)</v>
      </c>
      <c r="G18" s="4">
        <v>6</v>
      </c>
      <c r="H18" s="4">
        <v>6</v>
      </c>
      <c r="I18" s="6" t="s">
        <v>28</v>
      </c>
    </row>
    <row r="19" ht="81" spans="1:9">
      <c r="A19" s="2" t="s">
        <v>9</v>
      </c>
      <c r="D19" s="2" t="s">
        <v>11</v>
      </c>
      <c r="E19" s="4">
        <v>5</v>
      </c>
      <c r="F19" s="5" t="str">
        <f>_xlfn.DISPIMG("ID_215CA3EF38FD4740B372E5CE4CF3BAC9",1)</f>
        <v>=DISPIMG("ID_215CA3EF38FD4740B372E5CE4CF3BAC9",1)</v>
      </c>
      <c r="G19" s="4">
        <v>6</v>
      </c>
      <c r="H19" s="4">
        <v>6</v>
      </c>
      <c r="I19" s="6" t="s">
        <v>29</v>
      </c>
    </row>
    <row r="20" ht="81" spans="1:9">
      <c r="A20" s="2" t="s">
        <v>9</v>
      </c>
      <c r="D20" s="2" t="s">
        <v>11</v>
      </c>
      <c r="E20" s="4">
        <v>5</v>
      </c>
      <c r="F20" s="5" t="str">
        <f>_xlfn.DISPIMG("ID_1532FF5BD3CE4B30AD42B819F8EC3A22",1)</f>
        <v>=DISPIMG("ID_1532FF5BD3CE4B30AD42B819F8EC3A22",1)</v>
      </c>
      <c r="G20" s="4">
        <v>6</v>
      </c>
      <c r="H20" s="4">
        <v>6</v>
      </c>
      <c r="I20" s="6" t="s">
        <v>30</v>
      </c>
    </row>
    <row r="21" ht="81" spans="1:9">
      <c r="A21" s="2" t="s">
        <v>9</v>
      </c>
      <c r="D21" s="2" t="s">
        <v>11</v>
      </c>
      <c r="E21" s="4">
        <v>5</v>
      </c>
      <c r="F21" s="5" t="str">
        <f>_xlfn.DISPIMG("ID_9B6473326D054AD6B8BBB0EE76CE1282",1)</f>
        <v>=DISPIMG("ID_9B6473326D054AD6B8BBB0EE76CE1282",1)</v>
      </c>
      <c r="G21" s="4">
        <v>6</v>
      </c>
      <c r="H21" s="4">
        <v>6</v>
      </c>
      <c r="I21" s="6" t="s">
        <v>31</v>
      </c>
    </row>
    <row r="22" ht="81" spans="1:9">
      <c r="A22" s="2" t="s">
        <v>9</v>
      </c>
      <c r="D22" s="2" t="s">
        <v>11</v>
      </c>
      <c r="E22" s="4">
        <v>5</v>
      </c>
      <c r="F22" s="5" t="str">
        <f>_xlfn.DISPIMG("ID_406629C50EBA452CA58A2FB4092F3E39",1)</f>
        <v>=DISPIMG("ID_406629C50EBA452CA58A2FB4092F3E39",1)</v>
      </c>
      <c r="G22" s="4">
        <v>6</v>
      </c>
      <c r="H22" s="4">
        <v>6</v>
      </c>
      <c r="I22" s="6" t="s">
        <v>32</v>
      </c>
    </row>
    <row r="23" ht="81" spans="1:9">
      <c r="A23" s="2" t="s">
        <v>9</v>
      </c>
      <c r="D23" s="2" t="s">
        <v>11</v>
      </c>
      <c r="E23" s="4">
        <v>5</v>
      </c>
      <c r="F23" s="5" t="str">
        <f>_xlfn.DISPIMG("ID_DD792E9D21DA485A8AA3EE35C01BE622",1)</f>
        <v>=DISPIMG("ID_DD792E9D21DA485A8AA3EE35C01BE622",1)</v>
      </c>
      <c r="G23" s="4">
        <v>6</v>
      </c>
      <c r="H23" s="4">
        <v>6</v>
      </c>
      <c r="I23" s="6" t="s">
        <v>33</v>
      </c>
    </row>
    <row r="24" ht="81" spans="1:9">
      <c r="A24" s="2" t="s">
        <v>9</v>
      </c>
      <c r="D24" s="2" t="s">
        <v>11</v>
      </c>
      <c r="E24" s="4">
        <v>5</v>
      </c>
      <c r="F24" s="5" t="str">
        <f>_xlfn.DISPIMG("ID_8B138C8654A84612A1D689DDC6860C74",1)</f>
        <v>=DISPIMG("ID_8B138C8654A84612A1D689DDC6860C74",1)</v>
      </c>
      <c r="G24" s="4">
        <v>6</v>
      </c>
      <c r="H24" s="4">
        <v>6</v>
      </c>
      <c r="I24" s="6" t="s">
        <v>34</v>
      </c>
    </row>
    <row r="25" ht="81" spans="1:9">
      <c r="A25" s="2" t="s">
        <v>9</v>
      </c>
      <c r="D25" s="2" t="s">
        <v>11</v>
      </c>
      <c r="E25" s="4">
        <v>5</v>
      </c>
      <c r="F25" s="5" t="str">
        <f>_xlfn.DISPIMG("ID_1539B13F3F6C44E081A629F930AB00F9",1)</f>
        <v>=DISPIMG("ID_1539B13F3F6C44E081A629F930AB00F9",1)</v>
      </c>
      <c r="G25" s="4">
        <v>6</v>
      </c>
      <c r="H25" s="4">
        <v>6</v>
      </c>
      <c r="I25" s="6" t="s">
        <v>35</v>
      </c>
    </row>
    <row r="26" ht="81" spans="1:9">
      <c r="A26" s="2" t="s">
        <v>9</v>
      </c>
      <c r="D26" s="2" t="s">
        <v>11</v>
      </c>
      <c r="E26" s="4">
        <v>5</v>
      </c>
      <c r="F26" s="5" t="str">
        <f>_xlfn.DISPIMG("ID_FD3876D67D2141C88EB798658F85ED2D",1)</f>
        <v>=DISPIMG("ID_FD3876D67D2141C88EB798658F85ED2D",1)</v>
      </c>
      <c r="G26" s="4">
        <v>6</v>
      </c>
      <c r="H26" s="4">
        <v>6</v>
      </c>
      <c r="I26" s="6" t="s">
        <v>36</v>
      </c>
    </row>
    <row r="27" ht="81" spans="1:9">
      <c r="A27" s="2" t="s">
        <v>9</v>
      </c>
      <c r="D27" s="2" t="s">
        <v>11</v>
      </c>
      <c r="E27" s="4">
        <v>5</v>
      </c>
      <c r="F27" s="5" t="str">
        <f>_xlfn.DISPIMG("ID_2E4AB86341624EB4AF89255999069339",1)</f>
        <v>=DISPIMG("ID_2E4AB86341624EB4AF89255999069339",1)</v>
      </c>
      <c r="G27" s="4">
        <v>6</v>
      </c>
      <c r="H27" s="4">
        <v>6</v>
      </c>
      <c r="I27" s="6" t="s">
        <v>37</v>
      </c>
    </row>
    <row r="28" ht="81" spans="1:9">
      <c r="A28" s="2" t="s">
        <v>9</v>
      </c>
      <c r="D28" s="2" t="s">
        <v>11</v>
      </c>
      <c r="E28" s="4">
        <v>5</v>
      </c>
      <c r="F28" s="5" t="str">
        <f>_xlfn.DISPIMG("ID_F9105EC5E3C7417FAB0D7DA3ED481C2E",1)</f>
        <v>=DISPIMG("ID_F9105EC5E3C7417FAB0D7DA3ED481C2E",1)</v>
      </c>
      <c r="G28" s="4">
        <v>6</v>
      </c>
      <c r="H28" s="4">
        <v>6</v>
      </c>
      <c r="I28" s="6" t="s">
        <v>38</v>
      </c>
    </row>
    <row r="29" ht="81" spans="1:9">
      <c r="A29" s="2" t="s">
        <v>9</v>
      </c>
      <c r="D29" s="2" t="s">
        <v>11</v>
      </c>
      <c r="E29" s="4">
        <v>5</v>
      </c>
      <c r="F29" s="5" t="str">
        <f>_xlfn.DISPIMG("ID_08CF3B585491437486AFB77221F9380A",1)</f>
        <v>=DISPIMG("ID_08CF3B585491437486AFB77221F9380A",1)</v>
      </c>
      <c r="G29" s="4">
        <v>6</v>
      </c>
      <c r="H29" s="4">
        <v>6</v>
      </c>
      <c r="I29" s="6" t="s">
        <v>39</v>
      </c>
    </row>
    <row r="30" ht="81" spans="1:9">
      <c r="A30" s="2" t="s">
        <v>9</v>
      </c>
      <c r="D30" s="2" t="s">
        <v>11</v>
      </c>
      <c r="E30" s="4">
        <v>5</v>
      </c>
      <c r="F30" s="5" t="str">
        <f>_xlfn.DISPIMG("ID_1B149448C39948B58365F4B4591A4981",1)</f>
        <v>=DISPIMG("ID_1B149448C39948B58365F4B4591A4981",1)</v>
      </c>
      <c r="G30" s="4">
        <v>6</v>
      </c>
      <c r="H30" s="4">
        <v>6</v>
      </c>
      <c r="I30" s="6" t="s">
        <v>40</v>
      </c>
    </row>
    <row r="31" ht="81" spans="1:9">
      <c r="A31" s="2" t="s">
        <v>9</v>
      </c>
      <c r="D31" s="2" t="s">
        <v>11</v>
      </c>
      <c r="E31" s="4">
        <v>5</v>
      </c>
      <c r="F31" s="5" t="str">
        <f>_xlfn.DISPIMG("ID_7B0009433FB94043B1B1C4E270298E18",1)</f>
        <v>=DISPIMG("ID_7B0009433FB94043B1B1C4E270298E18",1)</v>
      </c>
      <c r="G31" s="4">
        <v>6</v>
      </c>
      <c r="H31" s="4">
        <v>6</v>
      </c>
      <c r="I31" s="6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NaRry</cp:lastModifiedBy>
  <dcterms:created xsi:type="dcterms:W3CDTF">2026-03-04T07:00:00Z</dcterms:created>
  <dcterms:modified xsi:type="dcterms:W3CDTF">2026-03-10T09:09:25Z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3A033E3F02C747BF994526CD7F1B8EE7_13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