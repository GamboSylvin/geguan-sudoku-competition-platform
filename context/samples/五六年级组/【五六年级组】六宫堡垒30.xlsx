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10-12岁组-六宫堡垒数独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68" name="ID_98B14346252E4ED4A7099595CBABE845" descr="堡垒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49695" y="9660890"/>
          <a:ext cx="5506085" cy="5505450"/>
        </a:xfrm>
        <a:prstGeom prst="rect">
          <a:avLst/>
        </a:prstGeom>
      </xdr:spPr>
    </xdr:pic>
  </etc:cellImage>
  <etc:cellImage>
    <xdr:pic>
      <xdr:nvPicPr>
        <xdr:cNvPr id="66" name="ID_BE0A2E494B1E46E29C5799F45A264BDD" descr="堡垒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449695" y="2033905"/>
          <a:ext cx="5506085" cy="5512435"/>
        </a:xfrm>
        <a:prstGeom prst="rect">
          <a:avLst/>
        </a:prstGeom>
      </xdr:spPr>
    </xdr:pic>
  </etc:cellImage>
  <etc:cellImage>
    <xdr:pic>
      <xdr:nvPicPr>
        <xdr:cNvPr id="65" name="ID_6380D9233E75444392FEC887058F43DF" descr="堡垒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449695" y="3945890"/>
          <a:ext cx="5506085" cy="5505450"/>
        </a:xfrm>
        <a:prstGeom prst="rect">
          <a:avLst/>
        </a:prstGeom>
      </xdr:spPr>
    </xdr:pic>
  </etc:cellImage>
  <etc:cellImage>
    <xdr:pic>
      <xdr:nvPicPr>
        <xdr:cNvPr id="64" name="ID_F2FC390E100640C8889665BDE9D694FB" descr="堡垒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449695" y="5850890"/>
          <a:ext cx="5506085" cy="5505450"/>
        </a:xfrm>
        <a:prstGeom prst="rect">
          <a:avLst/>
        </a:prstGeom>
      </xdr:spPr>
    </xdr:pic>
  </etc:cellImage>
  <etc:cellImage>
    <xdr:pic>
      <xdr:nvPicPr>
        <xdr:cNvPr id="71" name="ID_780322010BAD4045A503151FB938CF7A" descr="堡垒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449695" y="13470890"/>
          <a:ext cx="5506085" cy="5505450"/>
        </a:xfrm>
        <a:prstGeom prst="rect">
          <a:avLst/>
        </a:prstGeom>
      </xdr:spPr>
    </xdr:pic>
  </etc:cellImage>
  <etc:cellImage>
    <xdr:pic>
      <xdr:nvPicPr>
        <xdr:cNvPr id="236" name="ID_370B6DC025344D91B46201C670A1E990" descr="4 (1)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448425" y="7756525"/>
          <a:ext cx="3620770" cy="3620770"/>
        </a:xfrm>
        <a:prstGeom prst="rect">
          <a:avLst/>
        </a:prstGeom>
      </xdr:spPr>
    </xdr:pic>
  </etc:cellImage>
  <etc:cellImage>
    <xdr:pic>
      <xdr:nvPicPr>
        <xdr:cNvPr id="69" name="ID_61769E19B8FC4B9CB5AF153259E0080C" descr="堡垒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449695" y="7755890"/>
          <a:ext cx="5506085" cy="5505450"/>
        </a:xfrm>
        <a:prstGeom prst="rect">
          <a:avLst/>
        </a:prstGeom>
      </xdr:spPr>
    </xdr:pic>
  </etc:cellImage>
  <etc:cellImage>
    <xdr:pic>
      <xdr:nvPicPr>
        <xdr:cNvPr id="67" name="ID_1CF2982075A94CD39E5AC0A8B34F41D3" descr="堡垒6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449695" y="11565890"/>
          <a:ext cx="5506085" cy="5505450"/>
        </a:xfrm>
        <a:prstGeom prst="rect">
          <a:avLst/>
        </a:prstGeom>
      </xdr:spPr>
    </xdr:pic>
  </etc:cellImage>
  <etc:cellImage>
    <xdr:pic>
      <xdr:nvPicPr>
        <xdr:cNvPr id="70" name="ID_2640962D9717461C94EDD765A09EDE69" descr="堡垒8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449695" y="15375890"/>
          <a:ext cx="5506085" cy="5505450"/>
        </a:xfrm>
        <a:prstGeom prst="rect">
          <a:avLst/>
        </a:prstGeom>
      </xdr:spPr>
    </xdr:pic>
  </etc:cellImage>
  <etc:cellImage>
    <xdr:pic>
      <xdr:nvPicPr>
        <xdr:cNvPr id="72" name="ID_D65184B3237C4AA6B1193B58D41533BC" descr="堡垒9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449695" y="17280890"/>
          <a:ext cx="5506085" cy="5505450"/>
        </a:xfrm>
        <a:prstGeom prst="rect">
          <a:avLst/>
        </a:prstGeom>
      </xdr:spPr>
    </xdr:pic>
  </etc:cellImage>
  <etc:cellImage>
    <xdr:pic>
      <xdr:nvPicPr>
        <xdr:cNvPr id="73" name="ID_B1251DA4A7F6475A9F88E1C472DB3B6C" descr="堡垒10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449695" y="19185890"/>
          <a:ext cx="5506085" cy="5505450"/>
        </a:xfrm>
        <a:prstGeom prst="rect">
          <a:avLst/>
        </a:prstGeom>
      </xdr:spPr>
    </xdr:pic>
  </etc:cellImage>
  <etc:cellImage>
    <xdr:pic>
      <xdr:nvPicPr>
        <xdr:cNvPr id="74" name="ID_EF051FF228994125B9F8B2906D724A1D" descr="堡垒11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6449695" y="21090890"/>
          <a:ext cx="5506085" cy="5505450"/>
        </a:xfrm>
        <a:prstGeom prst="rect">
          <a:avLst/>
        </a:prstGeom>
      </xdr:spPr>
    </xdr:pic>
  </etc:cellImage>
  <etc:cellImage>
    <xdr:pic>
      <xdr:nvPicPr>
        <xdr:cNvPr id="75" name="ID_3B73E08B64F143E6AEE0504FDAC23C49" descr="堡垒12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6449695" y="22995890"/>
          <a:ext cx="5506085" cy="5505450"/>
        </a:xfrm>
        <a:prstGeom prst="rect">
          <a:avLst/>
        </a:prstGeom>
      </xdr:spPr>
    </xdr:pic>
  </etc:cellImage>
  <etc:cellImage>
    <xdr:pic>
      <xdr:nvPicPr>
        <xdr:cNvPr id="76" name="ID_3B60054692D44717B550FF5EB9115C72" descr="堡垒13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6449695" y="24900890"/>
          <a:ext cx="5506085" cy="5505450"/>
        </a:xfrm>
        <a:prstGeom prst="rect">
          <a:avLst/>
        </a:prstGeom>
      </xdr:spPr>
    </xdr:pic>
  </etc:cellImage>
  <etc:cellImage>
    <xdr:pic>
      <xdr:nvPicPr>
        <xdr:cNvPr id="77" name="ID_CBB8A1D7AD444216B7ACF84539AC6806" descr="堡垒14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6449695" y="26805890"/>
          <a:ext cx="5506085" cy="5505450"/>
        </a:xfrm>
        <a:prstGeom prst="rect">
          <a:avLst/>
        </a:prstGeom>
      </xdr:spPr>
    </xdr:pic>
  </etc:cellImage>
  <etc:cellImage>
    <xdr:pic>
      <xdr:nvPicPr>
        <xdr:cNvPr id="78" name="ID_47A7640E006D40C39E3DAB3112A9CA05" descr="堡垒15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6449695" y="28710890"/>
          <a:ext cx="5506085" cy="5505450"/>
        </a:xfrm>
        <a:prstGeom prst="rect">
          <a:avLst/>
        </a:prstGeom>
      </xdr:spPr>
    </xdr:pic>
  </etc:cellImage>
  <etc:cellImage>
    <xdr:pic>
      <xdr:nvPicPr>
        <xdr:cNvPr id="235" name="ID_042CDCB1234A4D4A8DCFCE3DF481CA1F" descr="2 (1)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6448425" y="3946525"/>
          <a:ext cx="3543300" cy="3543300"/>
        </a:xfrm>
        <a:prstGeom prst="rect">
          <a:avLst/>
        </a:prstGeom>
      </xdr:spPr>
    </xdr:pic>
  </etc:cellImage>
  <etc:cellImage>
    <xdr:pic>
      <xdr:nvPicPr>
        <xdr:cNvPr id="79" name="ID_2CBD6697119240F4B69C47DCD2E3A987" descr="堡垒16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6449695" y="30615890"/>
          <a:ext cx="5506085" cy="5505450"/>
        </a:xfrm>
        <a:prstGeom prst="rect">
          <a:avLst/>
        </a:prstGeom>
      </xdr:spPr>
    </xdr:pic>
  </etc:cellImage>
  <etc:cellImage>
    <xdr:pic>
      <xdr:nvPicPr>
        <xdr:cNvPr id="80" name="ID_5494D3E24F394870B6BF7D817B4E02D4" descr="堡垒17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6449695" y="32520890"/>
          <a:ext cx="5506085" cy="5505450"/>
        </a:xfrm>
        <a:prstGeom prst="rect">
          <a:avLst/>
        </a:prstGeom>
      </xdr:spPr>
    </xdr:pic>
  </etc:cellImage>
  <etc:cellImage>
    <xdr:pic>
      <xdr:nvPicPr>
        <xdr:cNvPr id="232" name="ID_A3FA78D1BC36479F9B43213530843DE5" descr="1 (1)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6448425" y="2035175"/>
          <a:ext cx="3601720" cy="3608070"/>
        </a:xfrm>
        <a:prstGeom prst="rect">
          <a:avLst/>
        </a:prstGeom>
      </xdr:spPr>
    </xdr:pic>
  </etc:cellImage>
  <etc:cellImage>
    <xdr:pic>
      <xdr:nvPicPr>
        <xdr:cNvPr id="81" name="ID_4B268724602C4622ABD597C2D54BD853" descr="堡垒18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6449695" y="34425890"/>
          <a:ext cx="5506085" cy="5505450"/>
        </a:xfrm>
        <a:prstGeom prst="rect">
          <a:avLst/>
        </a:prstGeom>
      </xdr:spPr>
    </xdr:pic>
  </etc:cellImage>
  <etc:cellImage>
    <xdr:pic>
      <xdr:nvPicPr>
        <xdr:cNvPr id="233" name="ID_095505C01EB74C8AA9E46FC34F81D0BF" descr="6 (1)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6448425" y="11566525"/>
          <a:ext cx="3572510" cy="3572510"/>
        </a:xfrm>
        <a:prstGeom prst="rect">
          <a:avLst/>
        </a:prstGeom>
      </xdr:spPr>
    </xdr:pic>
  </etc:cellImage>
  <etc:cellImage>
    <xdr:pic>
      <xdr:nvPicPr>
        <xdr:cNvPr id="82" name="ID_D1F2609E201046BA99B928C221180DEE" descr="堡垒19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6449695" y="36330890"/>
          <a:ext cx="5506085" cy="5505450"/>
        </a:xfrm>
        <a:prstGeom prst="rect">
          <a:avLst/>
        </a:prstGeom>
      </xdr:spPr>
    </xdr:pic>
  </etc:cellImage>
  <etc:cellImage>
    <xdr:pic>
      <xdr:nvPicPr>
        <xdr:cNvPr id="83" name="ID_47B8B546E159408099DE741B61942B83" descr="堡垒20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6449695" y="38235890"/>
          <a:ext cx="5506085" cy="5505450"/>
        </a:xfrm>
        <a:prstGeom prst="rect">
          <a:avLst/>
        </a:prstGeom>
      </xdr:spPr>
    </xdr:pic>
  </etc:cellImage>
  <etc:cellImage>
    <xdr:pic>
      <xdr:nvPicPr>
        <xdr:cNvPr id="240" name="ID_7E141BBCC38E4A82B0452B85C01EF470" descr="7 (1)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6448425" y="13471525"/>
          <a:ext cx="3629660" cy="3629660"/>
        </a:xfrm>
        <a:prstGeom prst="rect">
          <a:avLst/>
        </a:prstGeom>
      </xdr:spPr>
    </xdr:pic>
  </etc:cellImage>
  <etc:cellImage>
    <xdr:pic>
      <xdr:nvPicPr>
        <xdr:cNvPr id="237" name="ID_4FF7B237914548A09578135643F8B6AF" descr="5 (1)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6448425" y="9661525"/>
          <a:ext cx="3676650" cy="3676650"/>
        </a:xfrm>
        <a:prstGeom prst="rect">
          <a:avLst/>
        </a:prstGeom>
      </xdr:spPr>
    </xdr:pic>
  </etc:cellImage>
  <etc:cellImage>
    <xdr:pic>
      <xdr:nvPicPr>
        <xdr:cNvPr id="234" name="ID_A0DD584F22494C4CB368491F0BCF159A" descr="3 (1)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6448425" y="5851525"/>
          <a:ext cx="3705860" cy="3705860"/>
        </a:xfrm>
        <a:prstGeom prst="rect">
          <a:avLst/>
        </a:prstGeom>
      </xdr:spPr>
    </xdr:pic>
  </etc:cellImage>
  <etc:cellImage>
    <xdr:pic>
      <xdr:nvPicPr>
        <xdr:cNvPr id="239" name="ID_3B5DFCA3837F4A4D811A932970DD45E8" descr="8 (1)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6448425" y="15376525"/>
          <a:ext cx="3648710" cy="3648710"/>
        </a:xfrm>
        <a:prstGeom prst="rect">
          <a:avLst/>
        </a:prstGeom>
      </xdr:spPr>
    </xdr:pic>
  </etc:cellImage>
  <etc:cellImage>
    <xdr:pic>
      <xdr:nvPicPr>
        <xdr:cNvPr id="238" name="ID_C8752C446C864508A9057C788C45D246" descr="9 (1)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6448425" y="17281525"/>
          <a:ext cx="3561080" cy="3561080"/>
        </a:xfrm>
        <a:prstGeom prst="rect">
          <a:avLst/>
        </a:prstGeom>
      </xdr:spPr>
    </xdr:pic>
  </etc:cellImage>
  <etc:cellImage>
    <xdr:pic>
      <xdr:nvPicPr>
        <xdr:cNvPr id="241" name="ID_C0625229165A401AAC693887E636A7B0" descr="10 (1)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6448425" y="19186525"/>
          <a:ext cx="3353435" cy="335343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<sst xmlns="http://schemas.openxmlformats.org/spreadsheetml/2006/main" count="100" uniqueCount="42">
  <si>
    <t>题目</t>
  </si>
  <si>
    <t>题目配图</t>
  </si>
  <si>
    <t>题目音频</t>
  </si>
  <si>
    <t>*类目</t>
  </si>
  <si>
    <t>*分数</t>
  </si>
  <si>
    <t>*数独底图</t>
  </si>
  <si>
    <t>*水平长度</t>
  </si>
  <si>
    <t>*垂直长度</t>
  </si>
  <si>
    <t>*正确答案</t>
  </si>
  <si>
    <t>将数字 1-6 填入空格内，使每行、每列及每宫内数字均不重复。灰色格内数字大于相邻白色格内数字。</t>
  </si>
  <si>
    <t/>
  </si>
  <si>
    <t>六宫堡垒数独</t>
  </si>
  <si>
    <t>[2,4,1,,5,],
[5,6,3,4,1,2],
[3,1,4,,2,5],
[6,,2,,4,3],
[4,3,5,2,6,1],
[,2,6,5,3,4]</t>
  </si>
  <si>
    <t>[2,4,,1,5,],
[,6,5,2,3,4],
[5,,6,,1,3],
[4,3,1,5,6,2],
[,1,4,,2,5],
[3,5,2,6,,]</t>
  </si>
  <si>
    <t>[,6,1,,3,4],
[2,3,4,1,,5],
[,5,3,6,,2],
[4,,6,3,5,1],
[3,4,2,5,,6],
[6,1,5,4,2,]</t>
  </si>
  <si>
    <t>[,,4,1,2,3],
[1,,3,6,4,5],
[3,4,6,,,1],
[5,,2,4,3,],
[2,6,5,3,,],
[4,3,1,5,6,2]</t>
  </si>
  <si>
    <t>[,6,2,,1,4],
[4,,3,2,5,],
[2,4,1,5,6,3],
[6,,5,1,4,2],
[1,2,6,4,3,],
[3,5,,,2,]</t>
  </si>
  <si>
    <t>[6,5,,4,2,],
[2,3,4,6,,1],
[5,2,,1,3,],
[4,1,3,,6,5],
[1,6,5,3,4,2],
[3,4,2,5,,6]</t>
  </si>
  <si>
    <t>[,5,1,2,6,3],
[3,,6,4,1,5],
[,4,3,,2,6],
[2,6,5,3,,1],
[6,,2,1,5,4],
[5,1,4,,3,]</t>
  </si>
  <si>
    <t>[4,2,1,3,,6],
[,6,3,4,2,1],
[6,3,2,5,1,4],
[1,,5,,3,2],
[2,5,6,1,4,3],
[3,,4,,6,5]</t>
  </si>
  <si>
    <t>[,3,1,2,5,4],
[2,4,5,,6,1],
[3,1,,6,2,],
[5,,6,4,1,3],
[1,6,3,5,4,],
[4,5,2,1,3,6]</t>
  </si>
  <si>
    <t>[,3,4,2,,5],
[6,5,2,4,1,3],
[2,,3,1,5,4],
[5,4,1,,2,6],
[,1,5,6,4,2],
[4,2,6,5,3,]</t>
  </si>
  <si>
    <t>[5,,4,6,3,1],
[3,6,1,4,5,2],
[4,5,2,,6,3],
[6,,3,5,2,],
[1,3,,2,4,6],
[2,4,6,,1,5]</t>
  </si>
  <si>
    <t>[6,,1,3,2,4],
[,2,4,6,5,1],
[1,,2,,6,3],
[5,6,3,1,4,],
[2,3,6,4,1,5],
[4,,5,2,,6]</t>
  </si>
  <si>
    <t>[,,6,1,4,5],
[4,5,,3,2,],
[6,1,2,4,,3],
[5,,4,2,6,1],
[1,4,5,6,3,2],
[2,6,3,5,,]</t>
  </si>
  <si>
    <t>[6,1,5,2,3,4],
[3,,2,5,6,1],
[1,,3,6,,5],
[4,5,6,3,1,2],
[2,6,4,1,,3],
[5,3,,4,2,6]</t>
  </si>
  <si>
    <t>[2,4,6,3,1,],
[3,5,,2,6,4],
[5,2,,1,,6],
[6,1,3,5,4,2],
[,6,2,4,5,3],
[4,,5,6,2,1]</t>
  </si>
  <si>
    <t>[2,5,4,3,6,1],
[3,1,6,4,,5],
[5,4,2,,3,6],
[1,6,,2,5,4],
[4,3,5,6,1,2],
[6,,1,5,4,]</t>
  </si>
  <si>
    <t>[6,2,3,5,1,4],
[,5,4,6,3,2],
[5,6,2,,4,3],
[,4,1,2,6,5],
[2,3,6,4,,1],
[4,1,5,3,2,6]</t>
  </si>
  <si>
    <t>[4,,5,6,2,3],
[3,6,2,4,5,1],
[2,3,6,,1,4],
[5,4,1,2,,6],
[,5,4,3,6,2],
[6,2,,1,4,5]</t>
  </si>
  <si>
    <t>[5,,1,3,6,2],
[3,6,,4,5,1],
[4,5,3,,2,],
[1,2,6,5,3,4],
[,1,5,6,,3],
[6,3,4,2,1,5]</t>
  </si>
  <si>
    <t>[1,2,6,,3,5],
[4,,3,6,,2],
[2,4,5,3,6,1],
[3,,,5,,4],
[6,1,4,2,5,3],
[5,3,,1,4,]</t>
  </si>
  <si>
    <t>[6,,5,,2,4],
[3,4,,6,5,1],
[1,2,3,4,,5],
[5,6,,2,,3],
[,5,6,1,3,2],
[2,,1,,4,6]</t>
  </si>
  <si>
    <t>[5,3,,1,6,4],
[,,4,5,,2],
[2,,6,3,4,1],
[1,4,3,6,,5],
[3,2,5,,1,6],
[4,6,,2,5,3]</t>
  </si>
  <si>
    <t>[2,4,,3,6,],
[3,5,6,4,1,2],
[5,,3,,4,6],
[4,6,2,,3,1],
[6,,4,1,5,3],
[1,3,5,6,2,]</t>
  </si>
  <si>
    <t>[3,5,1,6,2,4],
[,6,2,,5,1],
[2,4,,5,1,3],
[5,1,3,,4,6],
[1,3,5,4,6,2],
[6,,4,1,3,5]</t>
  </si>
  <si>
    <t>[4,2,6,1,3,5],
[5,,1,6,4,],
[1,6,2,,5,3],
[3,4,5,2,,6],
[6,1,,5,2,4],
[2,5,4,3,,1]</t>
  </si>
  <si>
    <t>[5,1,4,3,2,6],
[,3,2,5,,1],
[1,,5,6,3,4],
[,6,3,1,,2],
[3,4,6,,1,5],
[2,5,,4,6,]</t>
  </si>
  <si>
    <t>[5,4,,2,,3],
[6,,2,1,5,4],
[,5,,6,3,],
[3,1,6,4,2,5],
[1,,3,5,,2],
[4,2,5,3,1,6]</t>
  </si>
  <si>
    <t>[3,4,2,,1,5],
[6,,5,3,4,2],
[4,6,3,2,5,],
[2,5,1,,6,3],
[1,3,6,5,,4],
[5,2,,1,3,6]</t>
  </si>
  <si>
    <t>[2,3,5,6,,1],
[,6,4,,2,5],
[3,2,1,5,6,4],
[5,,,2,1,3],
[4,5,2,1,3,],
[6,1,3,4,5,2]</t>
  </si>
  <si>
    <t>[2,6,,5,1,3],
[3,5,1,6,,4],
[5,,,4,3,1],
[1,4,3,2,5,6],
[6,3,2,1,,5],
[4,,5,3,6,2]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</si>
</sst>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 wrapText="1"/>
    </xf>
    <xf numFmtId="49" fontId="0" fillId="0" borderId="0" xfId="0" applyNumberFormat="1" applyFont="1" applyFill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2" fillId="0" borderId="0" xfId="6" applyFill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0" Type="http://schemas.openxmlformats.org/officeDocument/2006/relationships/image" Target="media/image30.png"/><Relationship Id="rId3" Type="http://schemas.openxmlformats.org/officeDocument/2006/relationships/image" Target="media/image3.png"/><Relationship Id="rId29" Type="http://schemas.openxmlformats.org/officeDocument/2006/relationships/image" Target="media/image29.png"/><Relationship Id="rId28" Type="http://schemas.openxmlformats.org/officeDocument/2006/relationships/image" Target="media/image28.png"/><Relationship Id="rId27" Type="http://schemas.openxmlformats.org/officeDocument/2006/relationships/image" Target="media/image27.png"/><Relationship Id="rId26" Type="http://schemas.openxmlformats.org/officeDocument/2006/relationships/image" Target="media/image26.png"/><Relationship Id="rId25" Type="http://schemas.openxmlformats.org/officeDocument/2006/relationships/image" Target="media/image25.png"/><Relationship Id="rId24" Type="http://schemas.openxmlformats.org/officeDocument/2006/relationships/image" Target="media/image24.png"/><Relationship Id="rId23" Type="http://schemas.openxmlformats.org/officeDocument/2006/relationships/image" Target="media/image23.png"/><Relationship Id="rId22" Type="http://schemas.openxmlformats.org/officeDocument/2006/relationships/image" Target="media/image22.png"/><Relationship Id="rId21" Type="http://schemas.openxmlformats.org/officeDocument/2006/relationships/image" Target="media/image21.png"/><Relationship Id="rId20" Type="http://schemas.openxmlformats.org/officeDocument/2006/relationships/image" Target="media/image20.png"/><Relationship Id="rId2" Type="http://schemas.openxmlformats.org/officeDocument/2006/relationships/image" Target="media/image2.png"/><Relationship Id="rId19" Type="http://schemas.openxmlformats.org/officeDocument/2006/relationships/image" Target="media/image19.png"/><Relationship Id="rId18" Type="http://schemas.openxmlformats.org/officeDocument/2006/relationships/image" Target="media/image18.png"/><Relationship Id="rId17" Type="http://schemas.openxmlformats.org/officeDocument/2006/relationships/image" Target="media/image17.png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tabSelected="1" workbookViewId="0">
      <pane ySplit="1" topLeftCell="A19" activePane="bottomLeft" state="frozen"/>
      <selection/>
      <selection pane="bottomLeft" activeCell="L22" sqref="L22"/>
    </sheetView>
  </sheetViews>
  <sheetFormatPr defaultColWidth="9" defaultRowHeight="13.5"/>
  <cols>
    <col min="1" max="1" width="50" customWidth="1"/>
    <col min="2" max="3" width="20" customWidth="1"/>
    <col min="4" max="5" width="15" customWidth="1"/>
    <col min="6" max="6" width="10" customWidth="1"/>
    <col min="7" max="9" width="15" customWidth="1"/>
  </cols>
  <sheetData>
    <row r="1" ht="25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5" customHeight="1" spans="1:9">
      <c r="A2" s="2" t="s">
        <v>9</v>
      </c>
      <c r="B2" s="3" t="s">
        <v>10</v>
      </c>
      <c r="D2" s="2" t="s">
        <v>11</v>
      </c>
      <c r="E2" s="4">
        <v>5</v>
      </c>
      <c r="F2" s="5" t="str">
        <f>_xlfn.DISPIMG("ID_BE0A2E494B1E46E29C5799F45A264BDD",1)</f>
        <v>=DISPIMG("ID_BE0A2E494B1E46E29C5799F45A264BDD",1)</v>
      </c>
      <c r="G2" s="4">
        <v>6</v>
      </c>
      <c r="H2" s="4">
        <v>6</v>
      </c>
      <c r="I2" s="6" t="s">
        <v>12</v>
      </c>
    </row>
    <row r="3" ht="81" spans="1:9">
      <c r="A3" s="2" t="s">
        <v>9</v>
      </c>
      <c r="D3" s="2" t="s">
        <v>11</v>
      </c>
      <c r="E3" s="4">
        <v>5</v>
      </c>
      <c r="F3" s="7" t="str">
        <f>_xlfn.DISPIMG("ID_6380D9233E75444392FEC887058F43DF",1)</f>
        <v>=DISPIMG("ID_6380D9233E75444392FEC887058F43DF",1)</v>
      </c>
      <c r="G3" s="4">
        <v>6</v>
      </c>
      <c r="H3" s="4">
        <v>6</v>
      </c>
      <c r="I3" s="6" t="s">
        <v>13</v>
      </c>
    </row>
    <row r="4" ht="81" spans="1:9">
      <c r="A4" s="2" t="s">
        <v>9</v>
      </c>
      <c r="D4" s="2" t="s">
        <v>11</v>
      </c>
      <c r="E4" s="4">
        <v>5</v>
      </c>
      <c r="F4" s="7" t="str">
        <f>_xlfn.DISPIMG("ID_F2FC390E100640C8889665BDE9D694FB",1)</f>
        <v>=DISPIMG("ID_F2FC390E100640C8889665BDE9D694FB",1)</v>
      </c>
      <c r="G4" s="4">
        <v>6</v>
      </c>
      <c r="H4" s="4">
        <v>6</v>
      </c>
      <c r="I4" s="6" t="s">
        <v>14</v>
      </c>
    </row>
    <row r="5" ht="81" spans="1:9">
      <c r="A5" s="2" t="s">
        <v>9</v>
      </c>
      <c r="D5" s="2" t="s">
        <v>11</v>
      </c>
      <c r="E5" s="4">
        <v>5</v>
      </c>
      <c r="F5" s="7" t="str">
        <f>_xlfn.DISPIMG("ID_61769E19B8FC4B9CB5AF153259E0080C",1)</f>
        <v>=DISPIMG("ID_61769E19B8FC4B9CB5AF153259E0080C",1)</v>
      </c>
      <c r="G5" s="4">
        <v>6</v>
      </c>
      <c r="H5" s="4">
        <v>6</v>
      </c>
      <c r="I5" s="6" t="s">
        <v>15</v>
      </c>
    </row>
    <row r="6" ht="81" spans="1:9">
      <c r="A6" s="2" t="s">
        <v>9</v>
      </c>
      <c r="D6" s="2" t="s">
        <v>11</v>
      </c>
      <c r="E6" s="4">
        <v>5</v>
      </c>
      <c r="F6" s="7" t="str">
        <f>_xlfn.DISPIMG("ID_98B14346252E4ED4A7099595CBABE845",1)</f>
        <v>=DISPIMG("ID_98B14346252E4ED4A7099595CBABE845",1)</v>
      </c>
      <c r="G6" s="4">
        <v>6</v>
      </c>
      <c r="H6" s="4">
        <v>6</v>
      </c>
      <c r="I6" s="6" t="s">
        <v>16</v>
      </c>
    </row>
    <row r="7" ht="81" spans="1:9">
      <c r="A7" s="2" t="s">
        <v>9</v>
      </c>
      <c r="D7" s="2" t="s">
        <v>11</v>
      </c>
      <c r="E7" s="4">
        <v>5</v>
      </c>
      <c r="F7" s="7" t="str">
        <f>_xlfn.DISPIMG("ID_1CF2982075A94CD39E5AC0A8B34F41D3",1)</f>
        <v>=DISPIMG("ID_1CF2982075A94CD39E5AC0A8B34F41D3",1)</v>
      </c>
      <c r="G7" s="4">
        <v>6</v>
      </c>
      <c r="H7" s="4">
        <v>6</v>
      </c>
      <c r="I7" s="6" t="s">
        <v>17</v>
      </c>
    </row>
    <row r="8" ht="81" spans="1:9">
      <c r="A8" s="2" t="s">
        <v>9</v>
      </c>
      <c r="D8" s="2" t="s">
        <v>11</v>
      </c>
      <c r="E8" s="4">
        <v>5</v>
      </c>
      <c r="F8" s="7" t="str">
        <f>_xlfn.DISPIMG("ID_780322010BAD4045A503151FB938CF7A",1)</f>
        <v>=DISPIMG("ID_780322010BAD4045A503151FB938CF7A",1)</v>
      </c>
      <c r="G8" s="4">
        <v>6</v>
      </c>
      <c r="H8" s="4">
        <v>6</v>
      </c>
      <c r="I8" s="6" t="s">
        <v>18</v>
      </c>
    </row>
    <row r="9" ht="81" spans="1:9">
      <c r="A9" s="2" t="s">
        <v>9</v>
      </c>
      <c r="D9" s="2" t="s">
        <v>11</v>
      </c>
      <c r="E9" s="4">
        <v>5</v>
      </c>
      <c r="F9" s="7" t="str">
        <f>_xlfn.DISPIMG("ID_2640962D9717461C94EDD765A09EDE69",1)</f>
        <v>=DISPIMG("ID_2640962D9717461C94EDD765A09EDE69",1)</v>
      </c>
      <c r="G9" s="4">
        <v>6</v>
      </c>
      <c r="H9" s="4">
        <v>6</v>
      </c>
      <c r="I9" s="6" t="s">
        <v>19</v>
      </c>
    </row>
    <row r="10" ht="81" spans="1:9">
      <c r="A10" s="2" t="s">
        <v>9</v>
      </c>
      <c r="D10" s="2" t="s">
        <v>11</v>
      </c>
      <c r="E10" s="4">
        <v>5</v>
      </c>
      <c r="F10" s="7" t="str">
        <f>_xlfn.DISPIMG("ID_D65184B3237C4AA6B1193B58D41533BC",1)</f>
        <v>=DISPIMG("ID_D65184B3237C4AA6B1193B58D41533BC",1)</v>
      </c>
      <c r="G10" s="4">
        <v>6</v>
      </c>
      <c r="H10" s="4">
        <v>6</v>
      </c>
      <c r="I10" s="6" t="s">
        <v>20</v>
      </c>
    </row>
    <row r="11" ht="81" spans="1:9">
      <c r="A11" s="2" t="s">
        <v>9</v>
      </c>
      <c r="D11" s="2" t="s">
        <v>11</v>
      </c>
      <c r="E11" s="4">
        <v>5</v>
      </c>
      <c r="F11" s="7" t="str">
        <f>_xlfn.DISPIMG("ID_B1251DA4A7F6475A9F88E1C472DB3B6C",1)</f>
        <v>=DISPIMG("ID_B1251DA4A7F6475A9F88E1C472DB3B6C",1)</v>
      </c>
      <c r="G11" s="4">
        <v>6</v>
      </c>
      <c r="H11" s="4">
        <v>6</v>
      </c>
      <c r="I11" s="6" t="s">
        <v>21</v>
      </c>
    </row>
    <row r="12" ht="81" spans="1:9">
      <c r="A12" s="2" t="s">
        <v>9</v>
      </c>
      <c r="D12" s="2" t="s">
        <v>11</v>
      </c>
      <c r="E12" s="4">
        <v>5</v>
      </c>
      <c r="F12" s="7" t="str">
        <f>_xlfn.DISPIMG("ID_EF051FF228994125B9F8B2906D724A1D",1)</f>
        <v>=DISPIMG("ID_EF051FF228994125B9F8B2906D724A1D",1)</v>
      </c>
      <c r="G12" s="4">
        <v>6</v>
      </c>
      <c r="H12" s="4">
        <v>6</v>
      </c>
      <c r="I12" s="6" t="s">
        <v>22</v>
      </c>
    </row>
    <row r="13" ht="81" spans="1:9">
      <c r="A13" s="2" t="s">
        <v>9</v>
      </c>
      <c r="D13" s="2" t="s">
        <v>11</v>
      </c>
      <c r="E13" s="4">
        <v>5</v>
      </c>
      <c r="F13" s="7" t="str">
        <f>_xlfn.DISPIMG("ID_3B73E08B64F143E6AEE0504FDAC23C49",1)</f>
        <v>=DISPIMG("ID_3B73E08B64F143E6AEE0504FDAC23C49",1)</v>
      </c>
      <c r="G13" s="4">
        <v>6</v>
      </c>
      <c r="H13" s="4">
        <v>6</v>
      </c>
      <c r="I13" s="6" t="s">
        <v>23</v>
      </c>
    </row>
    <row r="14" ht="81" spans="1:9">
      <c r="A14" s="2" t="s">
        <v>9</v>
      </c>
      <c r="D14" s="2" t="s">
        <v>11</v>
      </c>
      <c r="E14" s="4">
        <v>5</v>
      </c>
      <c r="F14" s="7" t="str">
        <f>_xlfn.DISPIMG("ID_3B60054692D44717B550FF5EB9115C72",1)</f>
        <v>=DISPIMG("ID_3B60054692D44717B550FF5EB9115C72",1)</v>
      </c>
      <c r="G14" s="4">
        <v>6</v>
      </c>
      <c r="H14" s="4">
        <v>6</v>
      </c>
      <c r="I14" s="6" t="s">
        <v>24</v>
      </c>
    </row>
    <row r="15" ht="81" spans="1:9">
      <c r="A15" s="2" t="s">
        <v>9</v>
      </c>
      <c r="D15" s="2" t="s">
        <v>11</v>
      </c>
      <c r="E15" s="4">
        <v>5</v>
      </c>
      <c r="F15" s="7" t="str">
        <f>_xlfn.DISPIMG("ID_CBB8A1D7AD444216B7ACF84539AC6806",1)</f>
        <v>=DISPIMG("ID_CBB8A1D7AD444216B7ACF84539AC6806",1)</v>
      </c>
      <c r="G15" s="4">
        <v>6</v>
      </c>
      <c r="H15" s="4">
        <v>6</v>
      </c>
      <c r="I15" s="6" t="s">
        <v>25</v>
      </c>
    </row>
    <row r="16" ht="81" spans="1:9">
      <c r="A16" s="2" t="s">
        <v>9</v>
      </c>
      <c r="D16" s="2" t="s">
        <v>11</v>
      </c>
      <c r="E16" s="4">
        <v>5</v>
      </c>
      <c r="F16" s="7" t="str">
        <f>_xlfn.DISPIMG("ID_47A7640E006D40C39E3DAB3112A9CA05",1)</f>
        <v>=DISPIMG("ID_47A7640E006D40C39E3DAB3112A9CA05",1)</v>
      </c>
      <c r="G16" s="4">
        <v>6</v>
      </c>
      <c r="H16" s="4">
        <v>6</v>
      </c>
      <c r="I16" s="6" t="s">
        <v>26</v>
      </c>
    </row>
    <row r="17" ht="81" spans="1:9">
      <c r="A17" s="2" t="s">
        <v>9</v>
      </c>
      <c r="D17" s="2" t="s">
        <v>11</v>
      </c>
      <c r="E17" s="4">
        <v>5</v>
      </c>
      <c r="F17" s="7" t="str">
        <f>_xlfn.DISPIMG("ID_2CBD6697119240F4B69C47DCD2E3A987",1)</f>
        <v>=DISPIMG("ID_2CBD6697119240F4B69C47DCD2E3A987",1)</v>
      </c>
      <c r="G17" s="4">
        <v>6</v>
      </c>
      <c r="H17" s="4">
        <v>6</v>
      </c>
      <c r="I17" s="6" t="s">
        <v>27</v>
      </c>
    </row>
    <row r="18" ht="81" spans="1:9">
      <c r="A18" s="2" t="s">
        <v>9</v>
      </c>
      <c r="D18" s="2" t="s">
        <v>11</v>
      </c>
      <c r="E18" s="4">
        <v>5</v>
      </c>
      <c r="F18" s="7" t="str">
        <f>_xlfn.DISPIMG("ID_5494D3E24F394870B6BF7D817B4E02D4",1)</f>
        <v>=DISPIMG("ID_5494D3E24F394870B6BF7D817B4E02D4",1)</v>
      </c>
      <c r="G18" s="4">
        <v>6</v>
      </c>
      <c r="H18" s="4">
        <v>6</v>
      </c>
      <c r="I18" s="6" t="s">
        <v>28</v>
      </c>
    </row>
    <row r="19" ht="81" spans="1:9">
      <c r="A19" s="2" t="s">
        <v>9</v>
      </c>
      <c r="D19" s="2" t="s">
        <v>11</v>
      </c>
      <c r="E19" s="4">
        <v>5</v>
      </c>
      <c r="F19" s="7" t="str">
        <f>_xlfn.DISPIMG("ID_4B268724602C4622ABD597C2D54BD853",1)</f>
        <v>=DISPIMG("ID_4B268724602C4622ABD597C2D54BD853",1)</v>
      </c>
      <c r="G19" s="4">
        <v>6</v>
      </c>
      <c r="H19" s="4">
        <v>6</v>
      </c>
      <c r="I19" s="6" t="s">
        <v>29</v>
      </c>
    </row>
    <row r="20" ht="81" spans="1:9">
      <c r="A20" s="2" t="s">
        <v>9</v>
      </c>
      <c r="D20" s="2" t="s">
        <v>11</v>
      </c>
      <c r="E20" s="4">
        <v>5</v>
      </c>
      <c r="F20" s="7" t="str">
        <f>_xlfn.DISPIMG("ID_D1F2609E201046BA99B928C221180DEE",1)</f>
        <v>=DISPIMG("ID_D1F2609E201046BA99B928C221180DEE",1)</v>
      </c>
      <c r="G20" s="4">
        <v>6</v>
      </c>
      <c r="H20" s="4">
        <v>6</v>
      </c>
      <c r="I20" s="6" t="s">
        <v>30</v>
      </c>
    </row>
    <row r="21" ht="81" spans="1:9">
      <c r="A21" s="2" t="s">
        <v>9</v>
      </c>
      <c r="D21" s="2" t="s">
        <v>11</v>
      </c>
      <c r="E21" s="4">
        <v>5</v>
      </c>
      <c r="F21" s="7" t="str">
        <f>_xlfn.DISPIMG("ID_47B8B546E159408099DE741B61942B83",1)</f>
        <v>=DISPIMG("ID_47B8B546E159408099DE741B61942B83",1)</v>
      </c>
      <c r="G21" s="4">
        <v>6</v>
      </c>
      <c r="H21" s="4">
        <v>6</v>
      </c>
      <c r="I21" s="6" t="s">
        <v>31</v>
      </c>
    </row>
    <row r="22" ht="81" spans="1:9">
      <c r="A22" s="2" t="s">
        <v>9</v>
      </c>
      <c r="D22" s="2" t="s">
        <v>11</v>
      </c>
      <c r="E22" s="4">
        <v>5</v>
      </c>
      <c r="F22" s="7" t="str">
        <f>_xlfn.DISPIMG("ID_A3FA78D1BC36479F9B43213530843DE5",1)</f>
        <v>=DISPIMG("ID_A3FA78D1BC36479F9B43213530843DE5",1)</v>
      </c>
      <c r="G22" s="4">
        <v>6</v>
      </c>
      <c r="H22" s="4">
        <v>6</v>
      </c>
      <c r="I22" s="6" t="s">
        <v>32</v>
      </c>
    </row>
    <row r="23" ht="81" spans="1:9">
      <c r="A23" s="2" t="s">
        <v>9</v>
      </c>
      <c r="D23" s="2" t="s">
        <v>11</v>
      </c>
      <c r="E23" s="4">
        <v>5</v>
      </c>
      <c r="F23" s="7" t="str">
        <f>_xlfn.DISPIMG("ID_042CDCB1234A4D4A8DCFCE3DF481CA1F",1)</f>
        <v>=DISPIMG("ID_042CDCB1234A4D4A8DCFCE3DF481CA1F",1)</v>
      </c>
      <c r="G23" s="4">
        <v>6</v>
      </c>
      <c r="H23" s="4">
        <v>6</v>
      </c>
      <c r="I23" s="6" t="s">
        <v>33</v>
      </c>
    </row>
    <row r="24" ht="81" spans="1:9">
      <c r="A24" s="2" t="s">
        <v>9</v>
      </c>
      <c r="D24" s="2" t="s">
        <v>11</v>
      </c>
      <c r="E24" s="4">
        <v>5</v>
      </c>
      <c r="F24" s="7" t="str">
        <f>_xlfn.DISPIMG("ID_A0DD584F22494C4CB368491F0BCF159A",1)</f>
        <v>=DISPIMG("ID_A0DD584F22494C4CB368491F0BCF159A",1)</v>
      </c>
      <c r="G24" s="4">
        <v>6</v>
      </c>
      <c r="H24" s="4">
        <v>6</v>
      </c>
      <c r="I24" s="6" t="s">
        <v>34</v>
      </c>
    </row>
    <row r="25" ht="81" spans="1:9">
      <c r="A25" s="2" t="s">
        <v>9</v>
      </c>
      <c r="D25" s="2" t="s">
        <v>11</v>
      </c>
      <c r="E25" s="4">
        <v>5</v>
      </c>
      <c r="F25" s="7" t="str">
        <f>_xlfn.DISPIMG("ID_370B6DC025344D91B46201C670A1E990",1)</f>
        <v>=DISPIMG("ID_370B6DC025344D91B46201C670A1E990",1)</v>
      </c>
      <c r="G25" s="4">
        <v>6</v>
      </c>
      <c r="H25" s="4">
        <v>6</v>
      </c>
      <c r="I25" s="6" t="s">
        <v>35</v>
      </c>
    </row>
    <row r="26" ht="81" spans="1:9">
      <c r="A26" s="2" t="s">
        <v>9</v>
      </c>
      <c r="D26" s="2" t="s">
        <v>11</v>
      </c>
      <c r="E26" s="4">
        <v>5</v>
      </c>
      <c r="F26" s="7" t="str">
        <f>_xlfn.DISPIMG("ID_4FF7B237914548A09578135643F8B6AF",1)</f>
        <v>=DISPIMG("ID_4FF7B237914548A09578135643F8B6AF",1)</v>
      </c>
      <c r="G26" s="4">
        <v>6</v>
      </c>
      <c r="H26" s="4">
        <v>6</v>
      </c>
      <c r="I26" s="6" t="s">
        <v>36</v>
      </c>
    </row>
    <row r="27" ht="81" spans="1:9">
      <c r="A27" s="2" t="s">
        <v>9</v>
      </c>
      <c r="D27" s="2" t="s">
        <v>11</v>
      </c>
      <c r="E27" s="4">
        <v>5</v>
      </c>
      <c r="F27" s="7" t="str">
        <f>_xlfn.DISPIMG("ID_095505C01EB74C8AA9E46FC34F81D0BF",1)</f>
        <v>=DISPIMG("ID_095505C01EB74C8AA9E46FC34F81D0BF",1)</v>
      </c>
      <c r="G27" s="4">
        <v>6</v>
      </c>
      <c r="H27" s="4">
        <v>6</v>
      </c>
      <c r="I27" s="6" t="s">
        <v>37</v>
      </c>
    </row>
    <row r="28" ht="81" spans="1:9">
      <c r="A28" s="2" t="s">
        <v>9</v>
      </c>
      <c r="D28" s="2" t="s">
        <v>11</v>
      </c>
      <c r="E28" s="4">
        <v>5</v>
      </c>
      <c r="F28" s="7" t="str">
        <f>_xlfn.DISPIMG("ID_7E141BBCC38E4A82B0452B85C01EF470",1)</f>
        <v>=DISPIMG("ID_7E141BBCC38E4A82B0452B85C01EF470",1)</v>
      </c>
      <c r="G28" s="4">
        <v>6</v>
      </c>
      <c r="H28" s="4">
        <v>6</v>
      </c>
      <c r="I28" s="6" t="s">
        <v>38</v>
      </c>
    </row>
    <row r="29" ht="81" spans="1:9">
      <c r="A29" s="2" t="s">
        <v>9</v>
      </c>
      <c r="D29" s="2" t="s">
        <v>11</v>
      </c>
      <c r="E29" s="4">
        <v>5</v>
      </c>
      <c r="F29" s="7" t="str">
        <f>_xlfn.DISPIMG("ID_3B5DFCA3837F4A4D811A932970DD45E8",1)</f>
        <v>=DISPIMG("ID_3B5DFCA3837F4A4D811A932970DD45E8",1)</v>
      </c>
      <c r="G29" s="4">
        <v>6</v>
      </c>
      <c r="H29" s="4">
        <v>6</v>
      </c>
      <c r="I29" s="6" t="s">
        <v>39</v>
      </c>
    </row>
    <row r="30" ht="81" spans="1:9">
      <c r="A30" s="2" t="s">
        <v>9</v>
      </c>
      <c r="D30" s="2" t="s">
        <v>11</v>
      </c>
      <c r="E30" s="4">
        <v>5</v>
      </c>
      <c r="F30" s="7" t="str">
        <f>_xlfn.DISPIMG("ID_C8752C446C864508A9057C788C45D246",1)</f>
        <v>=DISPIMG("ID_C8752C446C864508A9057C788C45D246",1)</v>
      </c>
      <c r="G30" s="4">
        <v>6</v>
      </c>
      <c r="H30" s="4">
        <v>6</v>
      </c>
      <c r="I30" s="6" t="s">
        <v>40</v>
      </c>
    </row>
    <row r="31" ht="81" spans="1:9">
      <c r="A31" s="2" t="s">
        <v>9</v>
      </c>
      <c r="D31" s="2" t="s">
        <v>11</v>
      </c>
      <c r="E31" s="4">
        <v>5</v>
      </c>
      <c r="F31" s="7" t="str">
        <f>_xlfn.DISPIMG("ID_C0625229165A401AAC693887E636A7B0",1)</f>
        <v>=DISPIMG("ID_C0625229165A401AAC693887E636A7B0",1)</v>
      </c>
      <c r="G31" s="4">
        <v>6</v>
      </c>
      <c r="H31" s="4">
        <v>6</v>
      </c>
      <c r="I31" s="6" t="s">
        <v>41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10-12岁组-六宫堡垒数独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NaRry</cp:lastModifiedBy>
  <dcterms:created xsi:type="dcterms:W3CDTF">2026-03-04T07:00:00Z</dcterms:created>
  <dcterms:modified xsi:type="dcterms:W3CDTF">2026-03-12T02:22:07Z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73D6575C21A24D68A49CC67E813D5F65_13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