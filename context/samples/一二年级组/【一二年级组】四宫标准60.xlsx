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试题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74" name="ID_A6FA2B091E214F6885D1F0FD7CD91365" descr="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246495" y="9331325"/>
          <a:ext cx="3691255" cy="3695700"/>
        </a:xfrm>
        <a:prstGeom prst="rect">
          <a:avLst/>
        </a:prstGeom>
      </xdr:spPr>
    </xdr:pic>
  </etc:cellImage>
  <etc:cellImage>
    <xdr:pic>
      <xdr:nvPicPr>
        <xdr:cNvPr id="72" name="ID_E0C82B709046461D8622D1CBED1D64EC" descr="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246495" y="1866265"/>
          <a:ext cx="3695700" cy="3694430"/>
        </a:xfrm>
        <a:prstGeom prst="rect">
          <a:avLst/>
        </a:prstGeom>
      </xdr:spPr>
    </xdr:pic>
  </etc:cellImage>
  <etc:cellImage>
    <xdr:pic>
      <xdr:nvPicPr>
        <xdr:cNvPr id="10" name="ID_473052B534D44C09A7CF311028BC2079" descr="9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6448425" y="17281525"/>
          <a:ext cx="3695700" cy="3695700"/>
        </a:xfrm>
        <a:prstGeom prst="rect">
          <a:avLst/>
        </a:prstGeom>
      </xdr:spPr>
    </xdr:pic>
  </etc:cellImage>
  <etc:cellImage>
    <xdr:pic>
      <xdr:nvPicPr>
        <xdr:cNvPr id="75" name="ID_C35F506E3F274EDF8AB5B6B327D88F7F" descr="2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6240780" y="3730625"/>
          <a:ext cx="3706495" cy="3692525"/>
        </a:xfrm>
        <a:prstGeom prst="rect">
          <a:avLst/>
        </a:prstGeom>
      </xdr:spPr>
    </xdr:pic>
  </etc:cellImage>
  <etc:cellImage>
    <xdr:pic>
      <xdr:nvPicPr>
        <xdr:cNvPr id="76" name="ID_924152978F36488C8C08BBE4D370E42F" descr="7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246495" y="13065125"/>
          <a:ext cx="3691255" cy="3695700"/>
        </a:xfrm>
        <a:prstGeom prst="rect">
          <a:avLst/>
        </a:prstGeom>
      </xdr:spPr>
    </xdr:pic>
  </etc:cellImage>
  <etc:cellImage>
    <xdr:pic>
      <xdr:nvPicPr>
        <xdr:cNvPr id="71" name="ID_79BF68DA50D3421B9626AF24AC4D94C3" descr="3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6246495" y="5597525"/>
          <a:ext cx="3691255" cy="3695700"/>
        </a:xfrm>
        <a:prstGeom prst="rect">
          <a:avLst/>
        </a:prstGeom>
      </xdr:spPr>
    </xdr:pic>
  </etc:cellImage>
  <etc:cellImage>
    <xdr:pic>
      <xdr:nvPicPr>
        <xdr:cNvPr id="32" name="ID_BB2A71C73BE048C69AEABD525E5BB969" descr="30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6448425" y="57286525"/>
          <a:ext cx="3695700" cy="3695700"/>
        </a:xfrm>
        <a:prstGeom prst="rect">
          <a:avLst/>
        </a:prstGeom>
      </xdr:spPr>
    </xdr:pic>
  </etc:cellImage>
  <etc:cellImage>
    <xdr:pic>
      <xdr:nvPicPr>
        <xdr:cNvPr id="210" name="ID_FD3B5F8D96134D71A5D94E3C137B1B43" descr="16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6246495" y="29867225"/>
          <a:ext cx="3691255" cy="3695700"/>
        </a:xfrm>
        <a:prstGeom prst="rect">
          <a:avLst/>
        </a:prstGeom>
      </xdr:spPr>
    </xdr:pic>
  </etc:cellImage>
  <etc:cellImage>
    <xdr:pic>
      <xdr:nvPicPr>
        <xdr:cNvPr id="79" name="ID_625F94B1D167484F9256E38C70460F48" descr="8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6246495" y="14932025"/>
          <a:ext cx="3691255" cy="3695700"/>
        </a:xfrm>
        <a:prstGeom prst="rect">
          <a:avLst/>
        </a:prstGeom>
      </xdr:spPr>
    </xdr:pic>
  </etc:cellImage>
  <etc:cellImage>
    <xdr:pic>
      <xdr:nvPicPr>
        <xdr:cNvPr id="31" name="ID_CC2114556E7742D783BD1BE97EE4251F" descr="29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6448425" y="55381525"/>
          <a:ext cx="3695700" cy="3695700"/>
        </a:xfrm>
        <a:prstGeom prst="rect">
          <a:avLst/>
        </a:prstGeom>
      </xdr:spPr>
    </xdr:pic>
  </etc:cellImage>
  <etc:cellImage>
    <xdr:pic>
      <xdr:nvPicPr>
        <xdr:cNvPr id="9" name="ID_FD1D65D12DA440D7A6C9AA3D05785D4B" descr="8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6448425" y="15376525"/>
          <a:ext cx="3695700" cy="3695700"/>
        </a:xfrm>
        <a:prstGeom prst="rect">
          <a:avLst/>
        </a:prstGeom>
      </xdr:spPr>
    </xdr:pic>
  </etc:cellImage>
  <etc:cellImage>
    <xdr:pic>
      <xdr:nvPicPr>
        <xdr:cNvPr id="84" name="ID_D8014DFBCB0041CD88155E2F857D216E" descr="24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6246495" y="44802425"/>
          <a:ext cx="3691255" cy="3695700"/>
        </a:xfrm>
        <a:prstGeom prst="rect">
          <a:avLst/>
        </a:prstGeom>
      </xdr:spPr>
    </xdr:pic>
  </etc:cellImage>
  <etc:cellImage>
    <xdr:pic>
      <xdr:nvPicPr>
        <xdr:cNvPr id="77" name="ID_35B96512A74D46A186A3CBAB5649BFDE" descr="4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6246495" y="7464425"/>
          <a:ext cx="3691255" cy="3695700"/>
        </a:xfrm>
        <a:prstGeom prst="rect">
          <a:avLst/>
        </a:prstGeom>
      </xdr:spPr>
    </xdr:pic>
  </etc:cellImage>
  <etc:cellImage>
    <xdr:pic>
      <xdr:nvPicPr>
        <xdr:cNvPr id="73" name="ID_FA15C81C7BC7450299AC12F23C1544F8" descr="6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6246495" y="11198225"/>
          <a:ext cx="3691255" cy="3695700"/>
        </a:xfrm>
        <a:prstGeom prst="rect">
          <a:avLst/>
        </a:prstGeom>
      </xdr:spPr>
    </xdr:pic>
  </etc:cellImage>
  <etc:cellImage>
    <xdr:pic>
      <xdr:nvPicPr>
        <xdr:cNvPr id="81" name="ID_D4901DACD2064C1B9187D54F5D4D0DCF" descr="9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6246495" y="16798925"/>
          <a:ext cx="3691255" cy="3695700"/>
        </a:xfrm>
        <a:prstGeom prst="rect">
          <a:avLst/>
        </a:prstGeom>
      </xdr:spPr>
    </xdr:pic>
  </etc:cellImage>
  <etc:cellImage>
    <xdr:pic>
      <xdr:nvPicPr>
        <xdr:cNvPr id="82" name="ID_038BA775594F4692B4985F9AFC9849CB" descr="10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6246495" y="18665825"/>
          <a:ext cx="3691255" cy="3695700"/>
        </a:xfrm>
        <a:prstGeom prst="rect">
          <a:avLst/>
        </a:prstGeom>
      </xdr:spPr>
    </xdr:pic>
  </etc:cellImage>
  <etc:cellImage>
    <xdr:pic>
      <xdr:nvPicPr>
        <xdr:cNvPr id="83" name="ID_38CE03DE27864EE88F7887AF2600B620" descr="11"/>
        <xdr:cNvPicPr>
          <a:picLocks noChangeAspect="1"/>
        </xdr:cNvPicPr>
      </xdr:nvPicPr>
      <xdr:blipFill>
        <a:blip r:embed="rId15"/>
        <a:stretch>
          <a:fillRect/>
        </a:stretch>
      </xdr:blipFill>
      <xdr:spPr>
        <a:xfrm>
          <a:off x="6246495" y="20532725"/>
          <a:ext cx="3691255" cy="3695700"/>
        </a:xfrm>
        <a:prstGeom prst="rect">
          <a:avLst/>
        </a:prstGeom>
      </xdr:spPr>
    </xdr:pic>
  </etc:cellImage>
  <etc:cellImage>
    <xdr:pic>
      <xdr:nvPicPr>
        <xdr:cNvPr id="27" name="ID_5AD56360CDC84F80AA89467DB22D229C" descr="25"/>
        <xdr:cNvPicPr>
          <a:picLocks noChangeAspect="1"/>
        </xdr:cNvPicPr>
      </xdr:nvPicPr>
      <xdr:blipFill>
        <a:blip r:embed="rId16"/>
        <a:stretch>
          <a:fillRect/>
        </a:stretch>
      </xdr:blipFill>
      <xdr:spPr>
        <a:xfrm>
          <a:off x="6448425" y="47761525"/>
          <a:ext cx="3695700" cy="3695700"/>
        </a:xfrm>
        <a:prstGeom prst="rect">
          <a:avLst/>
        </a:prstGeom>
      </xdr:spPr>
    </xdr:pic>
  </etc:cellImage>
  <etc:cellImage>
    <xdr:pic>
      <xdr:nvPicPr>
        <xdr:cNvPr id="78" name="ID_BA7F581F243642B28F984078DEAB7B31" descr="29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246495" y="54136925"/>
          <a:ext cx="3691255" cy="3695700"/>
        </a:xfrm>
        <a:prstGeom prst="rect">
          <a:avLst/>
        </a:prstGeom>
      </xdr:spPr>
    </xdr:pic>
  </etc:cellImage>
  <etc:cellImage>
    <xdr:pic>
      <xdr:nvPicPr>
        <xdr:cNvPr id="237" name="ID_B9F329C2A7BC42A9A1A8A1019D7D3834" descr="23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6246495" y="42935525"/>
          <a:ext cx="3691255" cy="3695700"/>
        </a:xfrm>
        <a:prstGeom prst="rect">
          <a:avLst/>
        </a:prstGeom>
      </xdr:spPr>
    </xdr:pic>
  </etc:cellImage>
  <etc:cellImage>
    <xdr:pic>
      <xdr:nvPicPr>
        <xdr:cNvPr id="85" name="ID_428DCDA10B264B8BB691E931BBAC27FC" descr="12"/>
        <xdr:cNvPicPr>
          <a:picLocks noChangeAspect="1"/>
        </xdr:cNvPicPr>
      </xdr:nvPicPr>
      <xdr:blipFill>
        <a:blip r:embed="rId17"/>
        <a:stretch>
          <a:fillRect/>
        </a:stretch>
      </xdr:blipFill>
      <xdr:spPr>
        <a:xfrm>
          <a:off x="6246495" y="22399625"/>
          <a:ext cx="3691255" cy="3695700"/>
        </a:xfrm>
        <a:prstGeom prst="rect">
          <a:avLst/>
        </a:prstGeom>
      </xdr:spPr>
    </xdr:pic>
  </etc:cellImage>
  <etc:cellImage>
    <xdr:pic>
      <xdr:nvPicPr>
        <xdr:cNvPr id="86" name="ID_F8D9AC26534B4665B63279A847E80B89" descr="13"/>
        <xdr:cNvPicPr>
          <a:picLocks noChangeAspect="1"/>
        </xdr:cNvPicPr>
      </xdr:nvPicPr>
      <xdr:blipFill>
        <a:blip r:embed="rId18"/>
        <a:stretch>
          <a:fillRect/>
        </a:stretch>
      </xdr:blipFill>
      <xdr:spPr>
        <a:xfrm>
          <a:off x="6246495" y="24266525"/>
          <a:ext cx="3691255" cy="3695700"/>
        </a:xfrm>
        <a:prstGeom prst="rect">
          <a:avLst/>
        </a:prstGeom>
      </xdr:spPr>
    </xdr:pic>
  </etc:cellImage>
  <etc:cellImage>
    <xdr:pic>
      <xdr:nvPicPr>
        <xdr:cNvPr id="23" name="ID_1205BA9DFF3C4239A272835710B20E0F" descr="21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6448425" y="40141525"/>
          <a:ext cx="3695700" cy="3695700"/>
        </a:xfrm>
        <a:prstGeom prst="rect">
          <a:avLst/>
        </a:prstGeom>
      </xdr:spPr>
    </xdr:pic>
  </etc:cellImage>
  <etc:cellImage>
    <xdr:pic>
      <xdr:nvPicPr>
        <xdr:cNvPr id="208" name="ID_DFF83830726640A89CBB15443ED6BCAF" descr="14"/>
        <xdr:cNvPicPr>
          <a:picLocks noChangeAspect="1"/>
        </xdr:cNvPicPr>
      </xdr:nvPicPr>
      <xdr:blipFill>
        <a:blip r:embed="rId19"/>
        <a:stretch>
          <a:fillRect/>
        </a:stretch>
      </xdr:blipFill>
      <xdr:spPr>
        <a:xfrm>
          <a:off x="6246495" y="26133425"/>
          <a:ext cx="3691255" cy="3695700"/>
        </a:xfrm>
        <a:prstGeom prst="rect">
          <a:avLst/>
        </a:prstGeom>
      </xdr:spPr>
    </xdr:pic>
  </etc:cellImage>
  <etc:cellImage>
    <xdr:pic>
      <xdr:nvPicPr>
        <xdr:cNvPr id="19" name="ID_D0451D57C1BF4F2FA752C67175DB43BA" descr="18"/>
        <xdr:cNvPicPr>
          <a:picLocks noChangeAspect="1"/>
        </xdr:cNvPicPr>
      </xdr:nvPicPr>
      <xdr:blipFill>
        <a:blip r:embed="rId20"/>
        <a:stretch>
          <a:fillRect/>
        </a:stretch>
      </xdr:blipFill>
      <xdr:spPr>
        <a:xfrm>
          <a:off x="6448425" y="34426525"/>
          <a:ext cx="3695700" cy="3695700"/>
        </a:xfrm>
        <a:prstGeom prst="rect">
          <a:avLst/>
        </a:prstGeom>
      </xdr:spPr>
    </xdr:pic>
  </etc:cellImage>
  <etc:cellImage>
    <xdr:pic>
      <xdr:nvPicPr>
        <xdr:cNvPr id="13" name="ID_78CE70AD9E964A45B48A6C89101D9922" descr="12"/>
        <xdr:cNvPicPr>
          <a:picLocks noChangeAspect="1"/>
        </xdr:cNvPicPr>
      </xdr:nvPicPr>
      <xdr:blipFill>
        <a:blip r:embed="rId21"/>
        <a:stretch>
          <a:fillRect/>
        </a:stretch>
      </xdr:blipFill>
      <xdr:spPr>
        <a:xfrm>
          <a:off x="6448425" y="22996525"/>
          <a:ext cx="3695700" cy="3695700"/>
        </a:xfrm>
        <a:prstGeom prst="rect">
          <a:avLst/>
        </a:prstGeom>
      </xdr:spPr>
    </xdr:pic>
  </etc:cellImage>
  <etc:cellImage>
    <xdr:pic>
      <xdr:nvPicPr>
        <xdr:cNvPr id="209" name="ID_047FB582510C426780117AB615A9E0C1" descr="15"/>
        <xdr:cNvPicPr>
          <a:picLocks noChangeAspect="1"/>
        </xdr:cNvPicPr>
      </xdr:nvPicPr>
      <xdr:blipFill>
        <a:blip r:embed="rId22"/>
        <a:stretch>
          <a:fillRect/>
        </a:stretch>
      </xdr:blipFill>
      <xdr:spPr>
        <a:xfrm>
          <a:off x="6246495" y="28000325"/>
          <a:ext cx="3691255" cy="3695700"/>
        </a:xfrm>
        <a:prstGeom prst="rect">
          <a:avLst/>
        </a:prstGeom>
      </xdr:spPr>
    </xdr:pic>
  </etc:cellImage>
  <etc:cellImage>
    <xdr:pic>
      <xdr:nvPicPr>
        <xdr:cNvPr id="211" name="ID_32D6E8659F6245EC97BBD8EF3D0D2DC8" descr="17"/>
        <xdr:cNvPicPr>
          <a:picLocks noChangeAspect="1"/>
        </xdr:cNvPicPr>
      </xdr:nvPicPr>
      <xdr:blipFill>
        <a:blip r:embed="rId23"/>
        <a:stretch>
          <a:fillRect/>
        </a:stretch>
      </xdr:blipFill>
      <xdr:spPr>
        <a:xfrm>
          <a:off x="6246495" y="31734125"/>
          <a:ext cx="3691255" cy="3695700"/>
        </a:xfrm>
        <a:prstGeom prst="rect">
          <a:avLst/>
        </a:prstGeom>
      </xdr:spPr>
    </xdr:pic>
  </etc:cellImage>
  <etc:cellImage>
    <xdr:pic>
      <xdr:nvPicPr>
        <xdr:cNvPr id="232" name="ID_C840500D533F4792B9C1150DE0F8AF1F" descr="18"/>
        <xdr:cNvPicPr>
          <a:picLocks noChangeAspect="1"/>
        </xdr:cNvPicPr>
      </xdr:nvPicPr>
      <xdr:blipFill>
        <a:blip r:embed="rId24"/>
        <a:stretch>
          <a:fillRect/>
        </a:stretch>
      </xdr:blipFill>
      <xdr:spPr>
        <a:xfrm>
          <a:off x="6246495" y="33601025"/>
          <a:ext cx="3691255" cy="3695700"/>
        </a:xfrm>
        <a:prstGeom prst="rect">
          <a:avLst/>
        </a:prstGeom>
      </xdr:spPr>
    </xdr:pic>
  </etc:cellImage>
  <etc:cellImage>
    <xdr:pic>
      <xdr:nvPicPr>
        <xdr:cNvPr id="233" name="ID_78E770F345EF447B846EC41EAFE37B9E" descr="19"/>
        <xdr:cNvPicPr>
          <a:picLocks noChangeAspect="1"/>
        </xdr:cNvPicPr>
      </xdr:nvPicPr>
      <xdr:blipFill>
        <a:blip r:embed="rId25"/>
        <a:stretch>
          <a:fillRect/>
        </a:stretch>
      </xdr:blipFill>
      <xdr:spPr>
        <a:xfrm>
          <a:off x="6246495" y="35467925"/>
          <a:ext cx="3691255" cy="3695700"/>
        </a:xfrm>
        <a:prstGeom prst="rect">
          <a:avLst/>
        </a:prstGeom>
      </xdr:spPr>
    </xdr:pic>
  </etc:cellImage>
  <etc:cellImage>
    <xdr:pic>
      <xdr:nvPicPr>
        <xdr:cNvPr id="234" name="ID_86450D1A6D114BBFB9CB418C525CCF5E" descr="20"/>
        <xdr:cNvPicPr>
          <a:picLocks noChangeAspect="1"/>
        </xdr:cNvPicPr>
      </xdr:nvPicPr>
      <xdr:blipFill>
        <a:blip r:embed="rId16"/>
        <a:stretch>
          <a:fillRect/>
        </a:stretch>
      </xdr:blipFill>
      <xdr:spPr>
        <a:xfrm>
          <a:off x="6246495" y="37334825"/>
          <a:ext cx="3691255" cy="3695700"/>
        </a:xfrm>
        <a:prstGeom prst="rect">
          <a:avLst/>
        </a:prstGeom>
      </xdr:spPr>
    </xdr:pic>
  </etc:cellImage>
  <etc:cellImage>
    <xdr:pic>
      <xdr:nvPicPr>
        <xdr:cNvPr id="5" name="ID_0ACDB72D478540CC9AA8D87288B9DFA5" descr="4"/>
        <xdr:cNvPicPr>
          <a:picLocks noChangeAspect="1"/>
        </xdr:cNvPicPr>
      </xdr:nvPicPr>
      <xdr:blipFill>
        <a:blip r:embed="rId26"/>
        <a:stretch>
          <a:fillRect/>
        </a:stretch>
      </xdr:blipFill>
      <xdr:spPr>
        <a:xfrm>
          <a:off x="6448425" y="7756525"/>
          <a:ext cx="3695700" cy="3695700"/>
        </a:xfrm>
        <a:prstGeom prst="rect">
          <a:avLst/>
        </a:prstGeom>
      </xdr:spPr>
    </xdr:pic>
  </etc:cellImage>
  <etc:cellImage>
    <xdr:pic>
      <xdr:nvPicPr>
        <xdr:cNvPr id="235" name="ID_E3A2F3A292BF4B18B63FD6AEC12E32BA" descr="21"/>
        <xdr:cNvPicPr>
          <a:picLocks noChangeAspect="1"/>
        </xdr:cNvPicPr>
      </xdr:nvPicPr>
      <xdr:blipFill>
        <a:blip r:embed="rId27"/>
        <a:stretch>
          <a:fillRect/>
        </a:stretch>
      </xdr:blipFill>
      <xdr:spPr>
        <a:xfrm>
          <a:off x="6246495" y="39201725"/>
          <a:ext cx="3691255" cy="3695700"/>
        </a:xfrm>
        <a:prstGeom prst="rect">
          <a:avLst/>
        </a:prstGeom>
      </xdr:spPr>
    </xdr:pic>
  </etc:cellImage>
  <etc:cellImage>
    <xdr:pic>
      <xdr:nvPicPr>
        <xdr:cNvPr id="11" name="ID_91BAA5E1DA56450A8C5CC27917412791" descr="10"/>
        <xdr:cNvPicPr>
          <a:picLocks noChangeAspect="1"/>
        </xdr:cNvPicPr>
      </xdr:nvPicPr>
      <xdr:blipFill>
        <a:blip r:embed="rId28"/>
        <a:stretch>
          <a:fillRect/>
        </a:stretch>
      </xdr:blipFill>
      <xdr:spPr>
        <a:xfrm>
          <a:off x="6448425" y="19186525"/>
          <a:ext cx="3695700" cy="3695700"/>
        </a:xfrm>
        <a:prstGeom prst="rect">
          <a:avLst/>
        </a:prstGeom>
      </xdr:spPr>
    </xdr:pic>
  </etc:cellImage>
  <etc:cellImage>
    <xdr:pic>
      <xdr:nvPicPr>
        <xdr:cNvPr id="236" name="ID_1922D15BF86E4C42B6B70ADEA10388E0" descr="22"/>
        <xdr:cNvPicPr>
          <a:picLocks noChangeAspect="1"/>
        </xdr:cNvPicPr>
      </xdr:nvPicPr>
      <xdr:blipFill>
        <a:blip r:embed="rId29"/>
        <a:stretch>
          <a:fillRect/>
        </a:stretch>
      </xdr:blipFill>
      <xdr:spPr>
        <a:xfrm>
          <a:off x="6246495" y="41068625"/>
          <a:ext cx="3691255" cy="3695700"/>
        </a:xfrm>
        <a:prstGeom prst="rect">
          <a:avLst/>
        </a:prstGeom>
      </xdr:spPr>
    </xdr:pic>
  </etc:cellImage>
  <etc:cellImage>
    <xdr:pic>
      <xdr:nvPicPr>
        <xdr:cNvPr id="2" name="ID_FEE058CAE39A4322B7EFDB9E2BA3BDA4" descr="1"/>
        <xdr:cNvPicPr>
          <a:picLocks noChangeAspect="1"/>
        </xdr:cNvPicPr>
      </xdr:nvPicPr>
      <xdr:blipFill>
        <a:blip r:embed="rId30"/>
        <a:stretch>
          <a:fillRect/>
        </a:stretch>
      </xdr:blipFill>
      <xdr:spPr>
        <a:xfrm>
          <a:off x="6448425" y="2035175"/>
          <a:ext cx="3695700" cy="3702050"/>
        </a:xfrm>
        <a:prstGeom prst="rect">
          <a:avLst/>
        </a:prstGeom>
      </xdr:spPr>
    </xdr:pic>
  </etc:cellImage>
  <etc:cellImage>
    <xdr:pic>
      <xdr:nvPicPr>
        <xdr:cNvPr id="238" name="ID_AC3271200191400B9A2BDB2808726C46" descr="25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246495" y="46669325"/>
          <a:ext cx="3691255" cy="3695700"/>
        </a:xfrm>
        <a:prstGeom prst="rect">
          <a:avLst/>
        </a:prstGeom>
      </xdr:spPr>
    </xdr:pic>
  </etc:cellImage>
  <etc:cellImage>
    <xdr:pic>
      <xdr:nvPicPr>
        <xdr:cNvPr id="87" name="ID_856AD97ABE734244B5288150295E4D61" descr="26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6246495" y="48536225"/>
          <a:ext cx="3691255" cy="3695700"/>
        </a:xfrm>
        <a:prstGeom prst="rect">
          <a:avLst/>
        </a:prstGeom>
      </xdr:spPr>
    </xdr:pic>
  </etc:cellImage>
  <etc:cellImage>
    <xdr:pic>
      <xdr:nvPicPr>
        <xdr:cNvPr id="24" name="ID_B01C6E82B6344B839706A6644A0A5C19" descr="22"/>
        <xdr:cNvPicPr>
          <a:picLocks noChangeAspect="1"/>
        </xdr:cNvPicPr>
      </xdr:nvPicPr>
      <xdr:blipFill>
        <a:blip r:embed="rId23"/>
        <a:stretch>
          <a:fillRect/>
        </a:stretch>
      </xdr:blipFill>
      <xdr:spPr>
        <a:xfrm>
          <a:off x="6448425" y="42046525"/>
          <a:ext cx="3695700" cy="3695700"/>
        </a:xfrm>
        <a:prstGeom prst="rect">
          <a:avLst/>
        </a:prstGeom>
      </xdr:spPr>
    </xdr:pic>
  </etc:cellImage>
  <etc:cellImage>
    <xdr:pic>
      <xdr:nvPicPr>
        <xdr:cNvPr id="239" name="ID_FFE69CA79E69425B906B4699601A0E8D" descr="32"/>
        <xdr:cNvPicPr>
          <a:picLocks noChangeAspect="1"/>
        </xdr:cNvPicPr>
      </xdr:nvPicPr>
      <xdr:blipFill>
        <a:blip r:embed="rId31"/>
        <a:stretch>
          <a:fillRect/>
        </a:stretch>
      </xdr:blipFill>
      <xdr:spPr>
        <a:xfrm>
          <a:off x="6246495" y="50403125"/>
          <a:ext cx="3691255" cy="3695700"/>
        </a:xfrm>
        <a:prstGeom prst="rect">
          <a:avLst/>
        </a:prstGeom>
      </xdr:spPr>
    </xdr:pic>
  </etc:cellImage>
  <etc:cellImage>
    <xdr:pic>
      <xdr:nvPicPr>
        <xdr:cNvPr id="240" name="ID_3FB35C583F414C2DB3CD97566BDD44FD" descr="28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6246495" y="52270025"/>
          <a:ext cx="3691255" cy="3695700"/>
        </a:xfrm>
        <a:prstGeom prst="rect">
          <a:avLst/>
        </a:prstGeom>
      </xdr:spPr>
    </xdr:pic>
  </etc:cellImage>
  <etc:cellImage>
    <xdr:pic>
      <xdr:nvPicPr>
        <xdr:cNvPr id="80" name="ID_B9328BCE554B46D1BA8B142C58B2A913" descr="30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6246495" y="56003825"/>
          <a:ext cx="3691255" cy="3695700"/>
        </a:xfrm>
        <a:prstGeom prst="rect">
          <a:avLst/>
        </a:prstGeom>
      </xdr:spPr>
    </xdr:pic>
  </etc:cellImage>
  <etc:cellImage>
    <xdr:pic>
      <xdr:nvPicPr>
        <xdr:cNvPr id="3" name="ID_3D71FD42AC614D2C8C3D9D4AAD63EEBF" descr="2"/>
        <xdr:cNvPicPr>
          <a:picLocks noChangeAspect="1"/>
        </xdr:cNvPicPr>
      </xdr:nvPicPr>
      <xdr:blipFill>
        <a:blip r:embed="rId32"/>
        <a:stretch>
          <a:fillRect/>
        </a:stretch>
      </xdr:blipFill>
      <xdr:spPr>
        <a:xfrm>
          <a:off x="6448425" y="3946525"/>
          <a:ext cx="3695700" cy="3695700"/>
        </a:xfrm>
        <a:prstGeom prst="rect">
          <a:avLst/>
        </a:prstGeom>
      </xdr:spPr>
    </xdr:pic>
  </etc:cellImage>
  <etc:cellImage>
    <xdr:pic>
      <xdr:nvPicPr>
        <xdr:cNvPr id="4" name="ID_A5ED110773D24981B9A3EF1652BE8DEE" descr="3"/>
        <xdr:cNvPicPr>
          <a:picLocks noChangeAspect="1"/>
        </xdr:cNvPicPr>
      </xdr:nvPicPr>
      <xdr:blipFill>
        <a:blip r:embed="rId33"/>
        <a:stretch>
          <a:fillRect/>
        </a:stretch>
      </xdr:blipFill>
      <xdr:spPr>
        <a:xfrm>
          <a:off x="6448425" y="5851525"/>
          <a:ext cx="3695700" cy="3695700"/>
        </a:xfrm>
        <a:prstGeom prst="rect">
          <a:avLst/>
        </a:prstGeom>
      </xdr:spPr>
    </xdr:pic>
  </etc:cellImage>
  <etc:cellImage>
    <xdr:pic>
      <xdr:nvPicPr>
        <xdr:cNvPr id="6" name="ID_974179C1C6D54735ADBBBD154928CAB8" descr="5"/>
        <xdr:cNvPicPr>
          <a:picLocks noChangeAspect="1"/>
        </xdr:cNvPicPr>
      </xdr:nvPicPr>
      <xdr:blipFill>
        <a:blip r:embed="rId34"/>
        <a:stretch>
          <a:fillRect/>
        </a:stretch>
      </xdr:blipFill>
      <xdr:spPr>
        <a:xfrm>
          <a:off x="6448425" y="9661525"/>
          <a:ext cx="3695700" cy="3695700"/>
        </a:xfrm>
        <a:prstGeom prst="rect">
          <a:avLst/>
        </a:prstGeom>
      </xdr:spPr>
    </xdr:pic>
  </etc:cellImage>
  <etc:cellImage>
    <xdr:pic>
      <xdr:nvPicPr>
        <xdr:cNvPr id="7" name="ID_46FEFDC2F9DE401BA0C0E22045E30B6B" descr="6"/>
        <xdr:cNvPicPr>
          <a:picLocks noChangeAspect="1"/>
        </xdr:cNvPicPr>
      </xdr:nvPicPr>
      <xdr:blipFill>
        <a:blip r:embed="rId35"/>
        <a:stretch>
          <a:fillRect/>
        </a:stretch>
      </xdr:blipFill>
      <xdr:spPr>
        <a:xfrm>
          <a:off x="6448425" y="11566525"/>
          <a:ext cx="3695700" cy="3695700"/>
        </a:xfrm>
        <a:prstGeom prst="rect">
          <a:avLst/>
        </a:prstGeom>
      </xdr:spPr>
    </xdr:pic>
  </etc:cellImage>
  <etc:cellImage>
    <xdr:pic>
      <xdr:nvPicPr>
        <xdr:cNvPr id="8" name="ID_6622BFA67A31428D8F72C4289375D07C" descr="7"/>
        <xdr:cNvPicPr>
          <a:picLocks noChangeAspect="1"/>
        </xdr:cNvPicPr>
      </xdr:nvPicPr>
      <xdr:blipFill>
        <a:blip r:embed="rId36"/>
        <a:stretch>
          <a:fillRect/>
        </a:stretch>
      </xdr:blipFill>
      <xdr:spPr>
        <a:xfrm>
          <a:off x="6448425" y="13471525"/>
          <a:ext cx="3695700" cy="3695700"/>
        </a:xfrm>
        <a:prstGeom prst="rect">
          <a:avLst/>
        </a:prstGeom>
      </xdr:spPr>
    </xdr:pic>
  </etc:cellImage>
  <etc:cellImage>
    <xdr:pic>
      <xdr:nvPicPr>
        <xdr:cNvPr id="18" name="ID_2ADCFC4423864A359519EA754FFFC13B" descr="17"/>
        <xdr:cNvPicPr>
          <a:picLocks noChangeAspect="1"/>
        </xdr:cNvPicPr>
      </xdr:nvPicPr>
      <xdr:blipFill>
        <a:blip r:embed="rId37"/>
        <a:stretch>
          <a:fillRect/>
        </a:stretch>
      </xdr:blipFill>
      <xdr:spPr>
        <a:xfrm>
          <a:off x="6448425" y="32521525"/>
          <a:ext cx="3695700" cy="3695700"/>
        </a:xfrm>
        <a:prstGeom prst="rect">
          <a:avLst/>
        </a:prstGeom>
      </xdr:spPr>
    </xdr:pic>
  </etc:cellImage>
  <etc:cellImage>
    <xdr:pic>
      <xdr:nvPicPr>
        <xdr:cNvPr id="12" name="ID_1FB1FB6FE4CD4C268BCA2EEB891C89E6" descr="11"/>
        <xdr:cNvPicPr>
          <a:picLocks noChangeAspect="1"/>
        </xdr:cNvPicPr>
      </xdr:nvPicPr>
      <xdr:blipFill>
        <a:blip r:embed="rId38"/>
        <a:stretch>
          <a:fillRect/>
        </a:stretch>
      </xdr:blipFill>
      <xdr:spPr>
        <a:xfrm>
          <a:off x="6448425" y="21091525"/>
          <a:ext cx="3695700" cy="3695700"/>
        </a:xfrm>
        <a:prstGeom prst="rect">
          <a:avLst/>
        </a:prstGeom>
      </xdr:spPr>
    </xdr:pic>
  </etc:cellImage>
  <etc:cellImage>
    <xdr:pic>
      <xdr:nvPicPr>
        <xdr:cNvPr id="14" name="ID_4DF0537FD9FB4C5CA71E5EB5A217F91B" descr="13"/>
        <xdr:cNvPicPr>
          <a:picLocks noChangeAspect="1"/>
        </xdr:cNvPicPr>
      </xdr:nvPicPr>
      <xdr:blipFill>
        <a:blip r:embed="rId39"/>
        <a:stretch>
          <a:fillRect/>
        </a:stretch>
      </xdr:blipFill>
      <xdr:spPr>
        <a:xfrm>
          <a:off x="6448425" y="24901525"/>
          <a:ext cx="3695700" cy="3695700"/>
        </a:xfrm>
        <a:prstGeom prst="rect">
          <a:avLst/>
        </a:prstGeom>
      </xdr:spPr>
    </xdr:pic>
  </etc:cellImage>
  <etc:cellImage>
    <xdr:pic>
      <xdr:nvPicPr>
        <xdr:cNvPr id="30" name="ID_6D3A4B20860D41AB97C89A796D9E51F3" descr="28"/>
        <xdr:cNvPicPr>
          <a:picLocks noChangeAspect="1"/>
        </xdr:cNvPicPr>
      </xdr:nvPicPr>
      <xdr:blipFill>
        <a:blip r:embed="rId29"/>
        <a:stretch>
          <a:fillRect/>
        </a:stretch>
      </xdr:blipFill>
      <xdr:spPr>
        <a:xfrm>
          <a:off x="6448425" y="53476525"/>
          <a:ext cx="3695700" cy="3695700"/>
        </a:xfrm>
        <a:prstGeom prst="rect">
          <a:avLst/>
        </a:prstGeom>
      </xdr:spPr>
    </xdr:pic>
  </etc:cellImage>
  <etc:cellImage>
    <xdr:pic>
      <xdr:nvPicPr>
        <xdr:cNvPr id="25" name="ID_B14B29191E4B4395B46119C1CF37AD3A" descr="23"/>
        <xdr:cNvPicPr>
          <a:picLocks noChangeAspect="1"/>
        </xdr:cNvPicPr>
      </xdr:nvPicPr>
      <xdr:blipFill>
        <a:blip r:embed="rId24"/>
        <a:stretch>
          <a:fillRect/>
        </a:stretch>
      </xdr:blipFill>
      <xdr:spPr>
        <a:xfrm>
          <a:off x="6448425" y="43951525"/>
          <a:ext cx="3695700" cy="3695700"/>
        </a:xfrm>
        <a:prstGeom prst="rect">
          <a:avLst/>
        </a:prstGeom>
      </xdr:spPr>
    </xdr:pic>
  </etc:cellImage>
  <etc:cellImage>
    <xdr:pic>
      <xdr:nvPicPr>
        <xdr:cNvPr id="15" name="ID_B15AB3D7F1674D14B756D17384A3AC73" descr="14"/>
        <xdr:cNvPicPr>
          <a:picLocks noChangeAspect="1"/>
        </xdr:cNvPicPr>
      </xdr:nvPicPr>
      <xdr:blipFill>
        <a:blip r:embed="rId40"/>
        <a:stretch>
          <a:fillRect/>
        </a:stretch>
      </xdr:blipFill>
      <xdr:spPr>
        <a:xfrm>
          <a:off x="6448425" y="26806525"/>
          <a:ext cx="3695700" cy="3695700"/>
        </a:xfrm>
        <a:prstGeom prst="rect">
          <a:avLst/>
        </a:prstGeom>
      </xdr:spPr>
    </xdr:pic>
  </etc:cellImage>
  <etc:cellImage>
    <xdr:pic>
      <xdr:nvPicPr>
        <xdr:cNvPr id="16" name="ID_512025A8E3BE491FB805D49F294E42DC" descr="15"/>
        <xdr:cNvPicPr>
          <a:picLocks noChangeAspect="1"/>
        </xdr:cNvPicPr>
      </xdr:nvPicPr>
      <xdr:blipFill>
        <a:blip r:embed="rId41"/>
        <a:stretch>
          <a:fillRect/>
        </a:stretch>
      </xdr:blipFill>
      <xdr:spPr>
        <a:xfrm>
          <a:off x="6448425" y="28711525"/>
          <a:ext cx="3695700" cy="3695700"/>
        </a:xfrm>
        <a:prstGeom prst="rect">
          <a:avLst/>
        </a:prstGeom>
      </xdr:spPr>
    </xdr:pic>
  </etc:cellImage>
  <etc:cellImage>
    <xdr:pic>
      <xdr:nvPicPr>
        <xdr:cNvPr id="17" name="ID_4588FB4316004D779B3E42C3CCE7D072" descr="16"/>
        <xdr:cNvPicPr>
          <a:picLocks noChangeAspect="1"/>
        </xdr:cNvPicPr>
      </xdr:nvPicPr>
      <xdr:blipFill>
        <a:blip r:embed="rId42"/>
        <a:stretch>
          <a:fillRect/>
        </a:stretch>
      </xdr:blipFill>
      <xdr:spPr>
        <a:xfrm>
          <a:off x="6448425" y="30616525"/>
          <a:ext cx="3695700" cy="3695700"/>
        </a:xfrm>
        <a:prstGeom prst="rect">
          <a:avLst/>
        </a:prstGeom>
      </xdr:spPr>
    </xdr:pic>
  </etc:cellImage>
  <etc:cellImage>
    <xdr:pic>
      <xdr:nvPicPr>
        <xdr:cNvPr id="20" name="ID_A6E3FDD7937541CC9C1CE297B6F78274" descr="19"/>
        <xdr:cNvPicPr>
          <a:picLocks noChangeAspect="1"/>
        </xdr:cNvPicPr>
      </xdr:nvPicPr>
      <xdr:blipFill>
        <a:blip r:embed="rId43"/>
        <a:stretch>
          <a:fillRect/>
        </a:stretch>
      </xdr:blipFill>
      <xdr:spPr>
        <a:xfrm>
          <a:off x="6448425" y="36331525"/>
          <a:ext cx="3695700" cy="3695700"/>
        </a:xfrm>
        <a:prstGeom prst="rect">
          <a:avLst/>
        </a:prstGeom>
      </xdr:spPr>
    </xdr:pic>
  </etc:cellImage>
  <etc:cellImage>
    <xdr:pic>
      <xdr:nvPicPr>
        <xdr:cNvPr id="21" name="ID_CB616900CEEC4206B13D39DC681022C5" descr="20"/>
        <xdr:cNvPicPr>
          <a:picLocks noChangeAspect="1"/>
        </xdr:cNvPicPr>
      </xdr:nvPicPr>
      <xdr:blipFill>
        <a:blip r:embed="rId44"/>
        <a:stretch>
          <a:fillRect/>
        </a:stretch>
      </xdr:blipFill>
      <xdr:spPr>
        <a:xfrm>
          <a:off x="6448425" y="38236525"/>
          <a:ext cx="3695700" cy="3695700"/>
        </a:xfrm>
        <a:prstGeom prst="rect">
          <a:avLst/>
        </a:prstGeom>
      </xdr:spPr>
    </xdr:pic>
  </etc:cellImage>
  <etc:cellImage>
    <xdr:pic>
      <xdr:nvPicPr>
        <xdr:cNvPr id="26" name="ID_B1701DF836454849BCF0918A8AC92EDD" descr="24"/>
        <xdr:cNvPicPr>
          <a:picLocks noChangeAspect="1"/>
        </xdr:cNvPicPr>
      </xdr:nvPicPr>
      <xdr:blipFill>
        <a:blip r:embed="rId25"/>
        <a:stretch>
          <a:fillRect/>
        </a:stretch>
      </xdr:blipFill>
      <xdr:spPr>
        <a:xfrm>
          <a:off x="6448425" y="45856525"/>
          <a:ext cx="3695700" cy="3695700"/>
        </a:xfrm>
        <a:prstGeom prst="rect">
          <a:avLst/>
        </a:prstGeom>
      </xdr:spPr>
    </xdr:pic>
  </etc:cellImage>
  <etc:cellImage>
    <xdr:pic>
      <xdr:nvPicPr>
        <xdr:cNvPr id="28" name="ID_E7A681E198934C22B60BE620C148ADA2" descr="26"/>
        <xdr:cNvPicPr>
          <a:picLocks noChangeAspect="1"/>
        </xdr:cNvPicPr>
      </xdr:nvPicPr>
      <xdr:blipFill>
        <a:blip r:embed="rId27"/>
        <a:stretch>
          <a:fillRect/>
        </a:stretch>
      </xdr:blipFill>
      <xdr:spPr>
        <a:xfrm>
          <a:off x="6448425" y="49666525"/>
          <a:ext cx="3695700" cy="3695700"/>
        </a:xfrm>
        <a:prstGeom prst="rect">
          <a:avLst/>
        </a:prstGeom>
      </xdr:spPr>
    </xdr:pic>
  </etc:cellImage>
  <etc:cellImage>
    <xdr:pic>
      <xdr:nvPicPr>
        <xdr:cNvPr id="29" name="ID_98C1E34D777E4B46A85333567B2F1981" descr="27"/>
        <xdr:cNvPicPr>
          <a:picLocks noChangeAspect="1"/>
        </xdr:cNvPicPr>
      </xdr:nvPicPr>
      <xdr:blipFill>
        <a:blip r:embed="rId45"/>
        <a:stretch>
          <a:fillRect/>
        </a:stretch>
      </xdr:blipFill>
      <xdr:spPr>
        <a:xfrm>
          <a:off x="6448425" y="51571525"/>
          <a:ext cx="3695700" cy="3695700"/>
        </a:xfrm>
        <a:prstGeom prst="rect">
          <a:avLst/>
        </a:prstGeom>
      </xdr:spPr>
    </xdr:pic>
  </etc:cellImage>
</etc:cellImages>
</file>

<file path=xl/sharedStrings.xml><?xml version="1.0" encoding="utf-8"?>
<sst xmlns="http://schemas.openxmlformats.org/spreadsheetml/2006/main" count="250" uniqueCount="59">
  <si>
    <t>题目</t>
  </si>
  <si>
    <t>题目配图</t>
  </si>
  <si>
    <t>题目音频</t>
  </si>
  <si>
    <t>*类目</t>
  </si>
  <si>
    <t>*分数</t>
  </si>
  <si>
    <t>*数独底图</t>
  </si>
  <si>
    <t>*水平长度</t>
  </si>
  <si>
    <t>*垂直长度</t>
  </si>
  <si>
    <t>*正确答案</t>
  </si>
  <si>
    <r>
      <rPr>
        <sz val="12"/>
        <color theme="1"/>
        <rFont val="宋体"/>
        <charset val="134"/>
      </rPr>
      <t>将数字</t>
    </r>
    <r>
      <rPr>
        <sz val="12"/>
        <color theme="1"/>
        <rFont val="宋体"/>
        <charset val="134"/>
      </rPr>
      <t xml:space="preserve"> </t>
    </r>
    <r>
      <rPr>
        <sz val="12"/>
        <color theme="1"/>
        <rFont val="Calibri"/>
        <charset val="134"/>
      </rPr>
      <t>1-4</t>
    </r>
    <r>
      <rPr>
        <sz val="12"/>
        <color theme="1"/>
        <rFont val="Calibri"/>
        <charset val="134"/>
      </rPr>
      <t xml:space="preserve"> </t>
    </r>
    <r>
      <rPr>
        <sz val="12"/>
        <color theme="1"/>
        <rFont val="宋体"/>
        <charset val="134"/>
      </rPr>
      <t>填入空格内，使每行、每列及每宫内数字均不重复。</t>
    </r>
  </si>
  <si>
    <t/>
  </si>
  <si>
    <t>四宫标准数独</t>
  </si>
  <si>
    <t>5</t>
  </si>
  <si>
    <t>[,3,4,1],
[4,1,,2],
[1,,2,3],
[3,2,1,]</t>
  </si>
  <si>
    <t>[1,,2,4],
[2,4,,3],
[3,,4,1],
[4,1,,2]</t>
  </si>
  <si>
    <t>[,1,,2],
[2,3,4,1],
[1,4,2,3],
[3,,1,]</t>
  </si>
  <si>
    <t>[3,2,1,],
[,4,3,2],
[2,1,4,],
[,3,2,1]</t>
  </si>
  <si>
    <t>[,4,3,1],
[1,3,,4], 
[3,,4,2]，
[4,2,1,]</t>
  </si>
  <si>
    <t>[4,3,1,],
[,2,4,3],
[3,1,2,],
[,4,3,1]</t>
  </si>
  <si>
    <t>[,3,,2],
[2,4,3,1],
[3,1,2,4],
[4,,1,]</t>
  </si>
  <si>
    <t>[1,2,4,3],
[4,,2,],
[,1,,4],
[3,4,1,2]</t>
  </si>
  <si>
    <t>[1,3,,4],
[,4,3,1],
[4,2,1,],
[3,,4,2]</t>
  </si>
  <si>
    <t>[4,1,,2],
[,3,1,4],
[3,2,4,],
[1,,2,3]</t>
  </si>
  <si>
    <t>[,4,3,2],
[2,3,,1],
[3,,2,4],
[4,2,1,]</t>
  </si>
  <si>
    <t>[4,,3,2],
[3,2,,1],
[1,,2,4],
[2,4,,3]</t>
  </si>
  <si>
    <t>[3,1,,4],
[,4,1,3],
[4,2,3,],
[1,,4,2]</t>
  </si>
  <si>
    <t>[,3,,4],
[2,4,3,1],
[3,1,4,2],
[4,,1,]</t>
  </si>
  <si>
    <t>[1,3,2,4],
[,2,,3],
[3,,4,],
[2,4,3,1]</t>
  </si>
  <si>
    <t>[2,,3,],
[,1,2,4],
[4,2,1,],
[,3,,2]</t>
  </si>
  <si>
    <t>[3,,4,1],
[4,1,,2],
[2,,1,3],
[1,3,,4]</t>
  </si>
  <si>
    <t>[,1,2,3],
[3,2,,4],
[2,,3,1],
[1,3,4,]</t>
  </si>
  <si>
    <t>[,2,1,4],
[1,4,3,],
[,3,2,1],
[2,1,4,]</t>
  </si>
  <si>
    <t>[,3,,1],
[1,4,2,3],
[3,2,1,4],
[4,,3,]</t>
  </si>
  <si>
    <t>[,3,2,4],
[4,2,,1],
[2,,4,3],
[3,4,1,]</t>
  </si>
  <si>
    <t>[1,3,4,2],
[2,,1,],
[,1,,4],
[4,2,3,1]</t>
  </si>
  <si>
    <t>[1,,3,],
[4,3,2,1],
[2,1,4,3],
[,4,,2]</t>
  </si>
  <si>
    <t>[,,1,],
[1,4,3,],
[,,,3],
[,3,2,]</t>
  </si>
  <si>
    <t>[,4,3,1]，
[1,3,,4],
[3,,4,2],
[4,2,1,]</t>
  </si>
  <si>
    <t>[,4,1,3],
[1,3,,2],
[3,,2,4],
[4,2,3,]</t>
  </si>
  <si>
    <t>[,1,3,4],
[3,4,,2],
[4,,2,1],
[1,2,4,]</t>
  </si>
  <si>
    <t>[3,,4,2],
[2,4,1,],
[,3,2,1],
[1,2,,4]</t>
  </si>
  <si>
    <t>[3,4,1,],
[1,,4,3],
[2,1,,4],
[,3,2,1]</t>
  </si>
  <si>
    <t>[1,4,3,],
[2,,1,4],
[,1,2,3],
[3,2,,1]</t>
  </si>
  <si>
    <t>[3,1,4,],
[2,,1,3],
[4,3,,1],
[,2,3,4]</t>
  </si>
  <si>
    <t>[,2,4,1],
[1,4,,3],
[2,,3,4],
[4,3,1,]</t>
  </si>
  <si>
    <t>[4,,1,3],
[3,1,2,],
[,4,3,2],
[2,3,,1]</t>
  </si>
  <si>
    <t>[4,2,1,],
[1,,2,4],
[3,1,,2],
[,4,3,1]</t>
  </si>
  <si>
    <t>[3,,1,4],
[1,4,,2],
[,1,4,3],
[4,3,2,]</t>
  </si>
  <si>
    <t>[,3,2,4],
[2,4,,1],
[4,,1,3],
[3,1,4,]</t>
  </si>
  <si>
    <t>[,4,1,3],
[3,1,,2],
[4,,2,1],
[1,2,3,]</t>
  </si>
  <si>
    <t>[4,1,,2],
[,3,1,4],
[3,4,2,],
[1,,4,3]</t>
  </si>
  <si>
    <t>[1,3,2,],
[4,,3,1],
[2,1,,3],
[,4,1,2]</t>
  </si>
  <si>
    <t>[3,,1,2],
[2,1,4,],
[,2,3,1],
[1,3,,4]</t>
  </si>
  <si>
    <t>[4,,1,2],
[2,1,3,],
[,4,2,3],
[3,2,,1]</t>
  </si>
  <si>
    <t>[,4,2,3],
[3,2,,4],
[2,,4,1],
[4,1,3,]</t>
  </si>
  <si>
    <t>[,1,3,2],
[2,3,,4],
[1,2,4,],
[3,,2,1]</t>
  </si>
  <si>
    <t>[3,1,,4],
[,2,3,1],
[2,4,1,],
[1,,4,2]</t>
  </si>
  <si>
    <t>[4,1,,3],
[,3,1,4],
[1,,3,2],
[3,2,4,]</t>
  </si>
  <si>
    <t>[,2,4,1],
[1,4,,2],
[4,,2,3],
[2,3,1,]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</si>
</sst>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indexed="8"/>
      <name val="宋体"/>
      <charset val="134"/>
      <scheme val="minor"/>
    </font>
    <font>
      <sz val="12"/>
      <color theme="1"/>
      <name val="宋体"/>
      <charset val="134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color theme="1"/>
      <name val="Calibri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9">
    <xf numFmtId="0" fontId="0" fillId="0" borderId="0" xfId="0" applyFont="1">
      <alignment vertical="center"/>
    </xf>
    <xf numFmtId="0" fontId="0" fillId="0" borderId="0" xfId="0" applyFont="1" applyAlignment="1">
      <alignment horizontal="center" vertical="center" wrapText="1"/>
    </xf>
    <xf numFmtId="0" fontId="1" fillId="0" borderId="0" xfId="0" applyFont="1" applyFill="1" applyAlignment="1">
      <alignment horizontal="justify" vertical="center"/>
    </xf>
    <xf numFmtId="49" fontId="0" fillId="0" borderId="0" xfId="0" applyNumberFormat="1" applyFont="1" applyAlignment="1">
      <alignment horizontal="center" vertical="center" wrapText="1"/>
    </xf>
    <xf numFmtId="49" fontId="0" fillId="0" borderId="0" xfId="0" applyNumberFormat="1" applyFont="1" applyFill="1" applyAlignment="1">
      <alignment horizontal="center" vertical="center" wrapText="1"/>
    </xf>
    <xf numFmtId="0" fontId="2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center" vertical="center" wrapText="1"/>
    </xf>
    <xf numFmtId="0" fontId="3" fillId="0" borderId="0" xfId="0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9" Type="http://schemas.openxmlformats.org/officeDocument/2006/relationships/image" Target="media/image9.png"/><Relationship Id="rId8" Type="http://schemas.openxmlformats.org/officeDocument/2006/relationships/image" Target="media/image8.png"/><Relationship Id="rId7" Type="http://schemas.openxmlformats.org/officeDocument/2006/relationships/image" Target="media/image7.png"/><Relationship Id="rId6" Type="http://schemas.openxmlformats.org/officeDocument/2006/relationships/image" Target="media/image6.png"/><Relationship Id="rId5" Type="http://schemas.openxmlformats.org/officeDocument/2006/relationships/image" Target="media/image5.png"/><Relationship Id="rId45" Type="http://schemas.openxmlformats.org/officeDocument/2006/relationships/image" Target="media/image45.png"/><Relationship Id="rId44" Type="http://schemas.openxmlformats.org/officeDocument/2006/relationships/image" Target="media/image44.png"/><Relationship Id="rId43" Type="http://schemas.openxmlformats.org/officeDocument/2006/relationships/image" Target="media/image43.png"/><Relationship Id="rId42" Type="http://schemas.openxmlformats.org/officeDocument/2006/relationships/image" Target="media/image42.png"/><Relationship Id="rId41" Type="http://schemas.openxmlformats.org/officeDocument/2006/relationships/image" Target="media/image41.png"/><Relationship Id="rId40" Type="http://schemas.openxmlformats.org/officeDocument/2006/relationships/image" Target="media/image40.png"/><Relationship Id="rId4" Type="http://schemas.openxmlformats.org/officeDocument/2006/relationships/image" Target="media/image4.png"/><Relationship Id="rId39" Type="http://schemas.openxmlformats.org/officeDocument/2006/relationships/image" Target="media/image39.png"/><Relationship Id="rId38" Type="http://schemas.openxmlformats.org/officeDocument/2006/relationships/image" Target="media/image38.png"/><Relationship Id="rId37" Type="http://schemas.openxmlformats.org/officeDocument/2006/relationships/image" Target="media/image37.png"/><Relationship Id="rId36" Type="http://schemas.openxmlformats.org/officeDocument/2006/relationships/image" Target="media/image36.png"/><Relationship Id="rId35" Type="http://schemas.openxmlformats.org/officeDocument/2006/relationships/image" Target="media/image35.png"/><Relationship Id="rId34" Type="http://schemas.openxmlformats.org/officeDocument/2006/relationships/image" Target="media/image34.png"/><Relationship Id="rId33" Type="http://schemas.openxmlformats.org/officeDocument/2006/relationships/image" Target="media/image33.png"/><Relationship Id="rId32" Type="http://schemas.openxmlformats.org/officeDocument/2006/relationships/image" Target="media/image32.png"/><Relationship Id="rId31" Type="http://schemas.openxmlformats.org/officeDocument/2006/relationships/image" Target="media/image31.png"/><Relationship Id="rId30" Type="http://schemas.openxmlformats.org/officeDocument/2006/relationships/image" Target="media/image30.png"/><Relationship Id="rId3" Type="http://schemas.openxmlformats.org/officeDocument/2006/relationships/image" Target="media/image3.png"/><Relationship Id="rId29" Type="http://schemas.openxmlformats.org/officeDocument/2006/relationships/image" Target="media/image29.png"/><Relationship Id="rId28" Type="http://schemas.openxmlformats.org/officeDocument/2006/relationships/image" Target="media/image28.png"/><Relationship Id="rId27" Type="http://schemas.openxmlformats.org/officeDocument/2006/relationships/image" Target="media/image27.png"/><Relationship Id="rId26" Type="http://schemas.openxmlformats.org/officeDocument/2006/relationships/image" Target="media/image26.png"/><Relationship Id="rId25" Type="http://schemas.openxmlformats.org/officeDocument/2006/relationships/image" Target="media/image25.png"/><Relationship Id="rId24" Type="http://schemas.openxmlformats.org/officeDocument/2006/relationships/image" Target="media/image24.png"/><Relationship Id="rId23" Type="http://schemas.openxmlformats.org/officeDocument/2006/relationships/image" Target="media/image23.png"/><Relationship Id="rId22" Type="http://schemas.openxmlformats.org/officeDocument/2006/relationships/image" Target="media/image22.png"/><Relationship Id="rId21" Type="http://schemas.openxmlformats.org/officeDocument/2006/relationships/image" Target="media/image21.png"/><Relationship Id="rId20" Type="http://schemas.openxmlformats.org/officeDocument/2006/relationships/image" Target="media/image20.png"/><Relationship Id="rId2" Type="http://schemas.openxmlformats.org/officeDocument/2006/relationships/image" Target="media/image2.png"/><Relationship Id="rId19" Type="http://schemas.openxmlformats.org/officeDocument/2006/relationships/image" Target="media/image19.png"/><Relationship Id="rId18" Type="http://schemas.openxmlformats.org/officeDocument/2006/relationships/image" Target="media/image18.png"/><Relationship Id="rId17" Type="http://schemas.openxmlformats.org/officeDocument/2006/relationships/image" Target="media/image17.png"/><Relationship Id="rId16" Type="http://schemas.openxmlformats.org/officeDocument/2006/relationships/image" Target="media/image16.png"/><Relationship Id="rId15" Type="http://schemas.openxmlformats.org/officeDocument/2006/relationships/image" Target="media/image15.png"/><Relationship Id="rId14" Type="http://schemas.openxmlformats.org/officeDocument/2006/relationships/image" Target="media/image14.png"/><Relationship Id="rId13" Type="http://schemas.openxmlformats.org/officeDocument/2006/relationships/image" Target="media/image13.png"/><Relationship Id="rId12" Type="http://schemas.openxmlformats.org/officeDocument/2006/relationships/image" Target="media/image12.png"/><Relationship Id="rId11" Type="http://schemas.openxmlformats.org/officeDocument/2006/relationships/image" Target="media/image11.png"/><Relationship Id="rId10" Type="http://schemas.openxmlformats.org/officeDocument/2006/relationships/image" Target="media/image10.png"/><Relationship Id="rId1" Type="http://schemas.openxmlformats.org/officeDocument/2006/relationships/image" Target="media/image1.png"/></Relationships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www.wps.cn/officeDocument/2020/cellImage" Target="cellimag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1"/>
  <sheetViews>
    <sheetView tabSelected="1" workbookViewId="0">
      <pane ySplit="1" topLeftCell="A2" activePane="bottomLeft" state="frozen"/>
      <selection/>
      <selection pane="bottomLeft" activeCell="A2" sqref="A2:A61"/>
    </sheetView>
  </sheetViews>
  <sheetFormatPr defaultColWidth="9" defaultRowHeight="13.5"/>
  <cols>
    <col min="1" max="1" width="50" customWidth="1"/>
    <col min="2" max="3" width="20" customWidth="1"/>
    <col min="4" max="5" width="15" customWidth="1"/>
    <col min="6" max="6" width="10" customWidth="1"/>
    <col min="7" max="9" width="15" customWidth="1"/>
  </cols>
  <sheetData>
    <row r="1" ht="25" customHeight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25" customHeight="1" spans="1:9">
      <c r="A2" s="2" t="s">
        <v>9</v>
      </c>
      <c r="B2" s="3" t="s">
        <v>10</v>
      </c>
      <c r="D2" s="4" t="s">
        <v>11</v>
      </c>
      <c r="E2" s="4" t="s">
        <v>12</v>
      </c>
      <c r="F2" s="5" t="str">
        <f>_xlfn.DISPIMG("ID_E0C82B709046461D8622D1CBED1D64EC",1)</f>
        <v>=DISPIMG("ID_E0C82B709046461D8622D1CBED1D64EC",1)</v>
      </c>
      <c r="G2" s="6">
        <v>4</v>
      </c>
      <c r="H2" s="6">
        <v>4</v>
      </c>
      <c r="I2" s="7" t="s">
        <v>13</v>
      </c>
    </row>
    <row r="3" ht="59.75" spans="1:9">
      <c r="A3" s="2" t="s">
        <v>9</v>
      </c>
      <c r="D3" s="4" t="s">
        <v>11</v>
      </c>
      <c r="E3" s="4" t="s">
        <v>12</v>
      </c>
      <c r="F3" s="8" t="str">
        <f>_xlfn.DISPIMG("ID_C35F506E3F274EDF8AB5B6B327D88F7F",1)</f>
        <v>=DISPIMG("ID_C35F506E3F274EDF8AB5B6B327D88F7F",1)</v>
      </c>
      <c r="G3" s="6">
        <v>4</v>
      </c>
      <c r="H3" s="6">
        <v>4</v>
      </c>
      <c r="I3" s="7" t="s">
        <v>14</v>
      </c>
    </row>
    <row r="4" ht="60.05" spans="1:9">
      <c r="A4" s="2" t="s">
        <v>9</v>
      </c>
      <c r="D4" s="4" t="s">
        <v>11</v>
      </c>
      <c r="E4" s="4" t="s">
        <v>12</v>
      </c>
      <c r="F4" s="8" t="str">
        <f>_xlfn.DISPIMG("ID_79BF68DA50D3421B9626AF24AC4D94C3",1)</f>
        <v>=DISPIMG("ID_79BF68DA50D3421B9626AF24AC4D94C3",1)</v>
      </c>
      <c r="G4" s="6">
        <v>4</v>
      </c>
      <c r="H4" s="6">
        <v>4</v>
      </c>
      <c r="I4" s="7" t="s">
        <v>15</v>
      </c>
    </row>
    <row r="5" ht="60.05" spans="1:9">
      <c r="A5" s="2" t="s">
        <v>9</v>
      </c>
      <c r="D5" s="4" t="s">
        <v>11</v>
      </c>
      <c r="E5" s="4" t="s">
        <v>12</v>
      </c>
      <c r="F5" s="8" t="str">
        <f>_xlfn.DISPIMG("ID_35B96512A74D46A186A3CBAB5649BFDE",1)</f>
        <v>=DISPIMG("ID_35B96512A74D46A186A3CBAB5649BFDE",1)</v>
      </c>
      <c r="G5" s="6">
        <v>4</v>
      </c>
      <c r="H5" s="6">
        <v>4</v>
      </c>
      <c r="I5" s="7" t="s">
        <v>16</v>
      </c>
    </row>
    <row r="6" ht="60.05" spans="1:9">
      <c r="A6" s="2" t="s">
        <v>9</v>
      </c>
      <c r="D6" s="4" t="s">
        <v>11</v>
      </c>
      <c r="E6" s="4" t="s">
        <v>12</v>
      </c>
      <c r="F6" s="8" t="str">
        <f>_xlfn.DISPIMG("ID_A6FA2B091E214F6885D1F0FD7CD91365",1)</f>
        <v>=DISPIMG("ID_A6FA2B091E214F6885D1F0FD7CD91365",1)</v>
      </c>
      <c r="G6" s="6">
        <v>4</v>
      </c>
      <c r="H6" s="6">
        <v>4</v>
      </c>
      <c r="I6" s="7" t="s">
        <v>17</v>
      </c>
    </row>
    <row r="7" ht="60.05" spans="1:9">
      <c r="A7" s="2" t="s">
        <v>9</v>
      </c>
      <c r="D7" s="4" t="s">
        <v>11</v>
      </c>
      <c r="E7" s="4" t="s">
        <v>12</v>
      </c>
      <c r="F7" s="8" t="str">
        <f>_xlfn.DISPIMG("ID_FA15C81C7BC7450299AC12F23C1544F8",1)</f>
        <v>=DISPIMG("ID_FA15C81C7BC7450299AC12F23C1544F8",1)</v>
      </c>
      <c r="G7" s="6">
        <v>4</v>
      </c>
      <c r="H7" s="6">
        <v>4</v>
      </c>
      <c r="I7" s="7" t="s">
        <v>18</v>
      </c>
    </row>
    <row r="8" ht="60.05" spans="1:9">
      <c r="A8" s="2" t="s">
        <v>9</v>
      </c>
      <c r="D8" s="4" t="s">
        <v>11</v>
      </c>
      <c r="E8" s="4" t="s">
        <v>12</v>
      </c>
      <c r="F8" s="8" t="str">
        <f>_xlfn.DISPIMG("ID_924152978F36488C8C08BBE4D370E42F",1)</f>
        <v>=DISPIMG("ID_924152978F36488C8C08BBE4D370E42F",1)</v>
      </c>
      <c r="G8" s="6">
        <v>4</v>
      </c>
      <c r="H8" s="6">
        <v>4</v>
      </c>
      <c r="I8" s="7" t="s">
        <v>19</v>
      </c>
    </row>
    <row r="9" ht="60.05" spans="1:9">
      <c r="A9" s="2" t="s">
        <v>9</v>
      </c>
      <c r="D9" s="4" t="s">
        <v>11</v>
      </c>
      <c r="E9" s="4" t="s">
        <v>12</v>
      </c>
      <c r="F9" s="8" t="str">
        <f>_xlfn.DISPIMG("ID_625F94B1D167484F9256E38C70460F48",1)</f>
        <v>=DISPIMG("ID_625F94B1D167484F9256E38C70460F48",1)</v>
      </c>
      <c r="G9" s="6">
        <v>4</v>
      </c>
      <c r="H9" s="6">
        <v>4</v>
      </c>
      <c r="I9" s="7" t="s">
        <v>20</v>
      </c>
    </row>
    <row r="10" ht="60.05" spans="1:9">
      <c r="A10" s="2" t="s">
        <v>9</v>
      </c>
      <c r="D10" s="4" t="s">
        <v>11</v>
      </c>
      <c r="E10" s="4" t="s">
        <v>12</v>
      </c>
      <c r="F10" s="8" t="str">
        <f>_xlfn.DISPIMG("ID_D4901DACD2064C1B9187D54F5D4D0DCF",1)</f>
        <v>=DISPIMG("ID_D4901DACD2064C1B9187D54F5D4D0DCF",1)</v>
      </c>
      <c r="G10" s="6">
        <v>4</v>
      </c>
      <c r="H10" s="6">
        <v>4</v>
      </c>
      <c r="I10" s="7" t="s">
        <v>21</v>
      </c>
    </row>
    <row r="11" ht="60.05" spans="1:9">
      <c r="A11" s="2" t="s">
        <v>9</v>
      </c>
      <c r="D11" s="4" t="s">
        <v>11</v>
      </c>
      <c r="E11" s="4" t="s">
        <v>12</v>
      </c>
      <c r="F11" s="8" t="str">
        <f>_xlfn.DISPIMG("ID_038BA775594F4692B4985F9AFC9849CB",1)</f>
        <v>=DISPIMG("ID_038BA775594F4692B4985F9AFC9849CB",1)</v>
      </c>
      <c r="G11" s="6">
        <v>4</v>
      </c>
      <c r="H11" s="6">
        <v>4</v>
      </c>
      <c r="I11" s="7" t="s">
        <v>18</v>
      </c>
    </row>
    <row r="12" ht="60.05" spans="1:9">
      <c r="A12" s="2" t="s">
        <v>9</v>
      </c>
      <c r="D12" s="4" t="s">
        <v>11</v>
      </c>
      <c r="E12" s="4" t="s">
        <v>12</v>
      </c>
      <c r="F12" s="8" t="str">
        <f>_xlfn.DISPIMG("ID_38CE03DE27864EE88F7887AF2600B620",1)</f>
        <v>=DISPIMG("ID_38CE03DE27864EE88F7887AF2600B620",1)</v>
      </c>
      <c r="G12" s="6">
        <v>4</v>
      </c>
      <c r="H12" s="6">
        <v>4</v>
      </c>
      <c r="I12" s="7" t="s">
        <v>22</v>
      </c>
    </row>
    <row r="13" ht="60.05" spans="1:9">
      <c r="A13" s="2" t="s">
        <v>9</v>
      </c>
      <c r="D13" s="4" t="s">
        <v>11</v>
      </c>
      <c r="E13" s="4" t="s">
        <v>12</v>
      </c>
      <c r="F13" s="8" t="str">
        <f>_xlfn.DISPIMG("ID_428DCDA10B264B8BB691E931BBAC27FC",1)</f>
        <v>=DISPIMG("ID_428DCDA10B264B8BB691E931BBAC27FC",1)</v>
      </c>
      <c r="G13" s="6">
        <v>4</v>
      </c>
      <c r="H13" s="6">
        <v>4</v>
      </c>
      <c r="I13" s="7" t="s">
        <v>23</v>
      </c>
    </row>
    <row r="14" ht="60.05" spans="1:9">
      <c r="A14" s="2" t="s">
        <v>9</v>
      </c>
      <c r="D14" s="4" t="s">
        <v>11</v>
      </c>
      <c r="E14" s="4" t="s">
        <v>12</v>
      </c>
      <c r="F14" s="8" t="str">
        <f>_xlfn.DISPIMG("ID_F8D9AC26534B4665B63279A847E80B89",1)</f>
        <v>=DISPIMG("ID_F8D9AC26534B4665B63279A847E80B89",1)</v>
      </c>
      <c r="G14" s="6">
        <v>4</v>
      </c>
      <c r="H14" s="6">
        <v>4</v>
      </c>
      <c r="I14" s="7" t="s">
        <v>24</v>
      </c>
    </row>
    <row r="15" ht="60.05" spans="1:9">
      <c r="A15" s="2" t="s">
        <v>9</v>
      </c>
      <c r="D15" s="4" t="s">
        <v>11</v>
      </c>
      <c r="E15" s="4" t="s">
        <v>12</v>
      </c>
      <c r="F15" s="8" t="str">
        <f>_xlfn.DISPIMG("ID_DFF83830726640A89CBB15443ED6BCAF",1)</f>
        <v>=DISPIMG("ID_DFF83830726640A89CBB15443ED6BCAF",1)</v>
      </c>
      <c r="G15" s="6">
        <v>4</v>
      </c>
      <c r="H15" s="6">
        <v>4</v>
      </c>
      <c r="I15" s="7" t="s">
        <v>25</v>
      </c>
    </row>
    <row r="16" ht="60.05" spans="1:9">
      <c r="A16" s="2" t="s">
        <v>9</v>
      </c>
      <c r="D16" s="4" t="s">
        <v>11</v>
      </c>
      <c r="E16" s="4" t="s">
        <v>12</v>
      </c>
      <c r="F16" s="8" t="str">
        <f>_xlfn.DISPIMG("ID_047FB582510C426780117AB615A9E0C1",1)</f>
        <v>=DISPIMG("ID_047FB582510C426780117AB615A9E0C1",1)</v>
      </c>
      <c r="G16" s="6">
        <v>4</v>
      </c>
      <c r="H16" s="6">
        <v>4</v>
      </c>
      <c r="I16" s="7" t="s">
        <v>26</v>
      </c>
    </row>
    <row r="17" ht="60.05" spans="1:9">
      <c r="A17" s="2" t="s">
        <v>9</v>
      </c>
      <c r="D17" s="4" t="s">
        <v>11</v>
      </c>
      <c r="E17" s="4" t="s">
        <v>12</v>
      </c>
      <c r="F17" s="8" t="str">
        <f>_xlfn.DISPIMG("ID_FD3B5F8D96134D71A5D94E3C137B1B43",1)</f>
        <v>=DISPIMG("ID_FD3B5F8D96134D71A5D94E3C137B1B43",1)</v>
      </c>
      <c r="G17" s="6">
        <v>4</v>
      </c>
      <c r="H17" s="6">
        <v>4</v>
      </c>
      <c r="I17" s="7" t="s">
        <v>27</v>
      </c>
    </row>
    <row r="18" ht="60.05" spans="1:9">
      <c r="A18" s="2" t="s">
        <v>9</v>
      </c>
      <c r="D18" s="4" t="s">
        <v>11</v>
      </c>
      <c r="E18" s="4" t="s">
        <v>12</v>
      </c>
      <c r="F18" s="8" t="str">
        <f>_xlfn.DISPIMG("ID_32D6E8659F6245EC97BBD8EF3D0D2DC8",1)</f>
        <v>=DISPIMG("ID_32D6E8659F6245EC97BBD8EF3D0D2DC8",1)</v>
      </c>
      <c r="G18" s="6">
        <v>4</v>
      </c>
      <c r="H18" s="6">
        <v>4</v>
      </c>
      <c r="I18" s="7" t="s">
        <v>28</v>
      </c>
    </row>
    <row r="19" ht="60.05" spans="1:9">
      <c r="A19" s="2" t="s">
        <v>9</v>
      </c>
      <c r="D19" s="4" t="s">
        <v>11</v>
      </c>
      <c r="E19" s="4" t="s">
        <v>12</v>
      </c>
      <c r="F19" s="8" t="str">
        <f>_xlfn.DISPIMG("ID_C840500D533F4792B9C1150DE0F8AF1F",1)</f>
        <v>=DISPIMG("ID_C840500D533F4792B9C1150DE0F8AF1F",1)</v>
      </c>
      <c r="G19" s="6">
        <v>4</v>
      </c>
      <c r="H19" s="6">
        <v>4</v>
      </c>
      <c r="I19" s="7" t="s">
        <v>29</v>
      </c>
    </row>
    <row r="20" ht="60.05" spans="1:9">
      <c r="A20" s="2" t="s">
        <v>9</v>
      </c>
      <c r="D20" s="4" t="s">
        <v>11</v>
      </c>
      <c r="E20" s="4" t="s">
        <v>12</v>
      </c>
      <c r="F20" s="8" t="str">
        <f>_xlfn.DISPIMG("ID_78E770F345EF447B846EC41EAFE37B9E",1)</f>
        <v>=DISPIMG("ID_78E770F345EF447B846EC41EAFE37B9E",1)</v>
      </c>
      <c r="G20" s="6">
        <v>4</v>
      </c>
      <c r="H20" s="6">
        <v>4</v>
      </c>
      <c r="I20" s="7" t="s">
        <v>30</v>
      </c>
    </row>
    <row r="21" ht="60.05" spans="1:9">
      <c r="A21" s="2" t="s">
        <v>9</v>
      </c>
      <c r="D21" s="4" t="s">
        <v>11</v>
      </c>
      <c r="E21" s="4" t="s">
        <v>12</v>
      </c>
      <c r="F21" s="8" t="str">
        <f>_xlfn.DISPIMG("ID_86450D1A6D114BBFB9CB418C525CCF5E",1)</f>
        <v>=DISPIMG("ID_86450D1A6D114BBFB9CB418C525CCF5E",1)</v>
      </c>
      <c r="G21" s="6">
        <v>4</v>
      </c>
      <c r="H21" s="6">
        <v>4</v>
      </c>
      <c r="I21" s="7" t="s">
        <v>31</v>
      </c>
    </row>
    <row r="22" ht="60.05" spans="1:9">
      <c r="A22" s="2" t="s">
        <v>9</v>
      </c>
      <c r="D22" s="4" t="s">
        <v>11</v>
      </c>
      <c r="E22" s="4" t="s">
        <v>12</v>
      </c>
      <c r="F22" s="8" t="str">
        <f>_xlfn.DISPIMG("ID_E3A2F3A292BF4B18B63FD6AEC12E32BA",1)</f>
        <v>=DISPIMG("ID_E3A2F3A292BF4B18B63FD6AEC12E32BA",1)</v>
      </c>
      <c r="G22" s="6">
        <v>4</v>
      </c>
      <c r="H22" s="6">
        <v>4</v>
      </c>
      <c r="I22" s="7" t="s">
        <v>32</v>
      </c>
    </row>
    <row r="23" ht="60.05" spans="1:9">
      <c r="A23" s="2" t="s">
        <v>9</v>
      </c>
      <c r="D23" s="4" t="s">
        <v>11</v>
      </c>
      <c r="E23" s="4" t="s">
        <v>12</v>
      </c>
      <c r="F23" s="8" t="str">
        <f>_xlfn.DISPIMG("ID_1922D15BF86E4C42B6B70ADEA10388E0",1)</f>
        <v>=DISPIMG("ID_1922D15BF86E4C42B6B70ADEA10388E0",1)</v>
      </c>
      <c r="G23" s="6">
        <v>4</v>
      </c>
      <c r="H23" s="6">
        <v>4</v>
      </c>
      <c r="I23" s="7" t="s">
        <v>33</v>
      </c>
    </row>
    <row r="24" ht="60.05" spans="1:9">
      <c r="A24" s="2" t="s">
        <v>9</v>
      </c>
      <c r="D24" s="4" t="s">
        <v>11</v>
      </c>
      <c r="E24" s="4" t="s">
        <v>12</v>
      </c>
      <c r="F24" s="8" t="str">
        <f>_xlfn.DISPIMG("ID_B9F329C2A7BC42A9A1A8A1019D7D3834",1)</f>
        <v>=DISPIMG("ID_B9F329C2A7BC42A9A1A8A1019D7D3834",1)</v>
      </c>
      <c r="G24" s="6">
        <v>4</v>
      </c>
      <c r="H24" s="6">
        <v>4</v>
      </c>
      <c r="I24" s="7" t="s">
        <v>34</v>
      </c>
    </row>
    <row r="25" ht="60.05" spans="1:9">
      <c r="A25" s="2" t="s">
        <v>9</v>
      </c>
      <c r="D25" s="4" t="s">
        <v>11</v>
      </c>
      <c r="E25" s="4" t="s">
        <v>12</v>
      </c>
      <c r="F25" s="8" t="str">
        <f>_xlfn.DISPIMG("ID_D8014DFBCB0041CD88155E2F857D216E",1)</f>
        <v>=DISPIMG("ID_D8014DFBCB0041CD88155E2F857D216E",1)</v>
      </c>
      <c r="G25" s="6">
        <v>4</v>
      </c>
      <c r="H25" s="6">
        <v>4</v>
      </c>
      <c r="I25" s="7" t="s">
        <v>35</v>
      </c>
    </row>
    <row r="26" ht="60.05" spans="1:9">
      <c r="A26" s="2" t="s">
        <v>9</v>
      </c>
      <c r="D26" s="4" t="s">
        <v>11</v>
      </c>
      <c r="E26" s="4" t="s">
        <v>12</v>
      </c>
      <c r="F26" s="8" t="str">
        <f>_xlfn.DISPIMG("ID_AC3271200191400B9A2BDB2808726C46",1)</f>
        <v>=DISPIMG("ID_AC3271200191400B9A2BDB2808726C46",1)</v>
      </c>
      <c r="G26" s="6">
        <v>4</v>
      </c>
      <c r="H26" s="6">
        <v>4</v>
      </c>
      <c r="I26" s="7" t="s">
        <v>13</v>
      </c>
    </row>
    <row r="27" ht="60.05" spans="1:9">
      <c r="A27" s="2" t="s">
        <v>9</v>
      </c>
      <c r="D27" s="4" t="s">
        <v>11</v>
      </c>
      <c r="E27" s="4" t="s">
        <v>12</v>
      </c>
      <c r="F27" s="8" t="str">
        <f>_xlfn.DISPIMG("ID_856AD97ABE734244B5288150295E4D61",1)</f>
        <v>=DISPIMG("ID_856AD97ABE734244B5288150295E4D61",1)</v>
      </c>
      <c r="G27" s="6">
        <v>4</v>
      </c>
      <c r="H27" s="6">
        <v>4</v>
      </c>
      <c r="I27" s="7" t="s">
        <v>14</v>
      </c>
    </row>
    <row r="28" ht="60.05" spans="1:9">
      <c r="A28" s="2" t="s">
        <v>9</v>
      </c>
      <c r="D28" s="4" t="s">
        <v>11</v>
      </c>
      <c r="E28" s="4" t="s">
        <v>12</v>
      </c>
      <c r="F28" s="8" t="str">
        <f>_xlfn.DISPIMG("ID_FFE69CA79E69425B906B4699601A0E8D",1)</f>
        <v>=DISPIMG("ID_FFE69CA79E69425B906B4699601A0E8D",1)</v>
      </c>
      <c r="G28" s="6">
        <v>4</v>
      </c>
      <c r="H28" s="6">
        <v>4</v>
      </c>
      <c r="I28" s="7" t="s">
        <v>36</v>
      </c>
    </row>
    <row r="29" ht="60.05" spans="1:9">
      <c r="A29" s="2" t="s">
        <v>9</v>
      </c>
      <c r="D29" s="4" t="s">
        <v>11</v>
      </c>
      <c r="E29" s="4" t="s">
        <v>12</v>
      </c>
      <c r="F29" s="8" t="str">
        <f>_xlfn.DISPIMG("ID_3FB35C583F414C2DB3CD97566BDD44FD",1)</f>
        <v>=DISPIMG("ID_3FB35C583F414C2DB3CD97566BDD44FD",1)</v>
      </c>
      <c r="G29" s="6">
        <v>4</v>
      </c>
      <c r="H29" s="6">
        <v>4</v>
      </c>
      <c r="I29" s="7" t="s">
        <v>16</v>
      </c>
    </row>
    <row r="30" ht="60.05" spans="1:9">
      <c r="A30" s="2" t="s">
        <v>9</v>
      </c>
      <c r="D30" s="4" t="s">
        <v>11</v>
      </c>
      <c r="E30" s="4" t="s">
        <v>12</v>
      </c>
      <c r="F30" s="8" t="str">
        <f>_xlfn.DISPIMG("ID_BA7F581F243642B28F984078DEAB7B31",1)</f>
        <v>=DISPIMG("ID_BA7F581F243642B28F984078DEAB7B31",1)</v>
      </c>
      <c r="G30" s="6">
        <v>4</v>
      </c>
      <c r="H30" s="6">
        <v>4</v>
      </c>
      <c r="I30" s="7" t="s">
        <v>37</v>
      </c>
    </row>
    <row r="31" ht="60.05" spans="1:9">
      <c r="A31" s="2" t="s">
        <v>9</v>
      </c>
      <c r="D31" s="4" t="s">
        <v>11</v>
      </c>
      <c r="E31" s="4" t="s">
        <v>12</v>
      </c>
      <c r="F31" s="8" t="str">
        <f>_xlfn.DISPIMG("ID_B9328BCE554B46D1BA8B142C58B2A913",1)</f>
        <v>=DISPIMG("ID_B9328BCE554B46D1BA8B142C58B2A913",1)</v>
      </c>
      <c r="G31" s="6">
        <v>4</v>
      </c>
      <c r="H31" s="6">
        <v>4</v>
      </c>
      <c r="I31" s="7" t="s">
        <v>18</v>
      </c>
    </row>
    <row r="32" ht="60.05" spans="1:9">
      <c r="A32" s="2" t="s">
        <v>9</v>
      </c>
      <c r="D32" s="4" t="s">
        <v>11</v>
      </c>
      <c r="E32" s="4" t="s">
        <v>12</v>
      </c>
      <c r="F32" s="8" t="str">
        <f>_xlfn.DISPIMG("ID_FEE058CAE39A4322B7EFDB9E2BA3BDA4",1)</f>
        <v>=DISPIMG("ID_FEE058CAE39A4322B7EFDB9E2BA3BDA4",1)</v>
      </c>
      <c r="G32" s="6">
        <v>4</v>
      </c>
      <c r="H32" s="6">
        <v>4</v>
      </c>
      <c r="I32" s="7" t="s">
        <v>38</v>
      </c>
    </row>
    <row r="33" ht="60" spans="1:9">
      <c r="A33" s="2" t="s">
        <v>9</v>
      </c>
      <c r="D33" s="4" t="s">
        <v>11</v>
      </c>
      <c r="E33" s="4" t="s">
        <v>12</v>
      </c>
      <c r="F33" s="8" t="str">
        <f>_xlfn.DISPIMG("ID_3D71FD42AC614D2C8C3D9D4AAD63EEBF",1)</f>
        <v>=DISPIMG("ID_3D71FD42AC614D2C8C3D9D4AAD63EEBF",1)</v>
      </c>
      <c r="G33" s="6">
        <v>4</v>
      </c>
      <c r="H33" s="6">
        <v>4</v>
      </c>
      <c r="I33" s="7" t="s">
        <v>39</v>
      </c>
    </row>
    <row r="34" ht="60" spans="1:9">
      <c r="A34" s="2" t="s">
        <v>9</v>
      </c>
      <c r="D34" s="4" t="s">
        <v>11</v>
      </c>
      <c r="E34" s="4" t="s">
        <v>12</v>
      </c>
      <c r="F34" s="8" t="str">
        <f>_xlfn.DISPIMG("ID_A5ED110773D24981B9A3EF1652BE8DEE",1)</f>
        <v>=DISPIMG("ID_A5ED110773D24981B9A3EF1652BE8DEE",1)</v>
      </c>
      <c r="G34" s="6">
        <v>4</v>
      </c>
      <c r="H34" s="6">
        <v>4</v>
      </c>
      <c r="I34" s="7" t="s">
        <v>40</v>
      </c>
    </row>
    <row r="35" ht="60" spans="1:9">
      <c r="A35" s="2" t="s">
        <v>9</v>
      </c>
      <c r="D35" s="4" t="s">
        <v>11</v>
      </c>
      <c r="E35" s="4" t="s">
        <v>12</v>
      </c>
      <c r="F35" s="8" t="str">
        <f>_xlfn.DISPIMG("ID_0ACDB72D478540CC9AA8D87288B9DFA5",1)</f>
        <v>=DISPIMG("ID_0ACDB72D478540CC9AA8D87288B9DFA5",1)</v>
      </c>
      <c r="G35" s="6">
        <v>4</v>
      </c>
      <c r="H35" s="6">
        <v>4</v>
      </c>
      <c r="I35" s="7" t="s">
        <v>41</v>
      </c>
    </row>
    <row r="36" ht="60" spans="1:9">
      <c r="A36" s="2" t="s">
        <v>9</v>
      </c>
      <c r="D36" s="4" t="s">
        <v>11</v>
      </c>
      <c r="E36" s="4" t="s">
        <v>12</v>
      </c>
      <c r="F36" s="8" t="str">
        <f>_xlfn.DISPIMG("ID_974179C1C6D54735ADBBBD154928CAB8",1)</f>
        <v>=DISPIMG("ID_974179C1C6D54735ADBBBD154928CAB8",1)</v>
      </c>
      <c r="G36" s="6">
        <v>4</v>
      </c>
      <c r="H36" s="6">
        <v>4</v>
      </c>
      <c r="I36" s="7" t="s">
        <v>42</v>
      </c>
    </row>
    <row r="37" ht="60" spans="1:9">
      <c r="A37" s="2" t="s">
        <v>9</v>
      </c>
      <c r="D37" s="4" t="s">
        <v>11</v>
      </c>
      <c r="E37" s="4" t="s">
        <v>12</v>
      </c>
      <c r="F37" s="8" t="str">
        <f>_xlfn.DISPIMG("ID_46FEFDC2F9DE401BA0C0E22045E30B6B",1)</f>
        <v>=DISPIMG("ID_46FEFDC2F9DE401BA0C0E22045E30B6B",1)</v>
      </c>
      <c r="G37" s="6">
        <v>4</v>
      </c>
      <c r="H37" s="6">
        <v>4</v>
      </c>
      <c r="I37" s="7" t="s">
        <v>43</v>
      </c>
    </row>
    <row r="38" ht="60" spans="1:9">
      <c r="A38" s="2" t="s">
        <v>9</v>
      </c>
      <c r="D38" s="4" t="s">
        <v>11</v>
      </c>
      <c r="E38" s="4" t="s">
        <v>12</v>
      </c>
      <c r="F38" s="8" t="str">
        <f>_xlfn.DISPIMG("ID_6622BFA67A31428D8F72C4289375D07C",1)</f>
        <v>=DISPIMG("ID_6622BFA67A31428D8F72C4289375D07C",1)</v>
      </c>
      <c r="G38" s="6">
        <v>4</v>
      </c>
      <c r="H38" s="6">
        <v>4</v>
      </c>
      <c r="I38" s="7" t="s">
        <v>44</v>
      </c>
    </row>
    <row r="39" ht="60" spans="1:9">
      <c r="A39" s="2" t="s">
        <v>9</v>
      </c>
      <c r="D39" s="4" t="s">
        <v>11</v>
      </c>
      <c r="E39" s="4" t="s">
        <v>12</v>
      </c>
      <c r="F39" s="8" t="str">
        <f>_xlfn.DISPIMG("ID_FD1D65D12DA440D7A6C9AA3D05785D4B",1)</f>
        <v>=DISPIMG("ID_FD1D65D12DA440D7A6C9AA3D05785D4B",1)</v>
      </c>
      <c r="G39" s="6">
        <v>4</v>
      </c>
      <c r="H39" s="6">
        <v>4</v>
      </c>
      <c r="I39" s="7" t="s">
        <v>45</v>
      </c>
    </row>
    <row r="40" ht="60" spans="1:9">
      <c r="A40" s="2" t="s">
        <v>9</v>
      </c>
      <c r="D40" s="4" t="s">
        <v>11</v>
      </c>
      <c r="E40" s="4" t="s">
        <v>12</v>
      </c>
      <c r="F40" s="8" t="str">
        <f>_xlfn.DISPIMG("ID_473052B534D44C09A7CF311028BC2079",1)</f>
        <v>=DISPIMG("ID_473052B534D44C09A7CF311028BC2079",1)</v>
      </c>
      <c r="G40" s="6">
        <v>4</v>
      </c>
      <c r="H40" s="6">
        <v>4</v>
      </c>
      <c r="I40" s="7" t="s">
        <v>46</v>
      </c>
    </row>
    <row r="41" ht="60" spans="1:9">
      <c r="A41" s="2" t="s">
        <v>9</v>
      </c>
      <c r="D41" s="4" t="s">
        <v>11</v>
      </c>
      <c r="E41" s="4" t="s">
        <v>12</v>
      </c>
      <c r="F41" s="8" t="str">
        <f>_xlfn.DISPIMG("ID_91BAA5E1DA56450A8C5CC27917412791",1)</f>
        <v>=DISPIMG("ID_91BAA5E1DA56450A8C5CC27917412791",1)</v>
      </c>
      <c r="G41" s="6">
        <v>4</v>
      </c>
      <c r="H41" s="6">
        <v>4</v>
      </c>
      <c r="I41" s="7" t="s">
        <v>47</v>
      </c>
    </row>
    <row r="42" ht="60" spans="1:9">
      <c r="A42" s="2" t="s">
        <v>9</v>
      </c>
      <c r="D42" s="4" t="s">
        <v>11</v>
      </c>
      <c r="E42" s="4" t="s">
        <v>12</v>
      </c>
      <c r="F42" s="8" t="str">
        <f>_xlfn.DISPIMG("ID_1FB1FB6FE4CD4C268BCA2EEB891C89E6",1)</f>
        <v>=DISPIMG("ID_1FB1FB6FE4CD4C268BCA2EEB891C89E6",1)</v>
      </c>
      <c r="G42" s="6">
        <v>4</v>
      </c>
      <c r="H42" s="6">
        <v>4</v>
      </c>
      <c r="I42" s="7" t="s">
        <v>48</v>
      </c>
    </row>
    <row r="43" ht="60" spans="1:9">
      <c r="A43" s="2" t="s">
        <v>9</v>
      </c>
      <c r="D43" s="4" t="s">
        <v>11</v>
      </c>
      <c r="E43" s="4" t="s">
        <v>12</v>
      </c>
      <c r="F43" s="8" t="str">
        <f>_xlfn.DISPIMG("ID_78CE70AD9E964A45B48A6C89101D9922",1)</f>
        <v>=DISPIMG("ID_78CE70AD9E964A45B48A6C89101D9922",1)</v>
      </c>
      <c r="G43" s="6">
        <v>4</v>
      </c>
      <c r="H43" s="6">
        <v>4</v>
      </c>
      <c r="I43" s="7" t="s">
        <v>49</v>
      </c>
    </row>
    <row r="44" ht="60" spans="1:9">
      <c r="A44" s="2" t="s">
        <v>9</v>
      </c>
      <c r="D44" s="4" t="s">
        <v>11</v>
      </c>
      <c r="E44" s="4" t="s">
        <v>12</v>
      </c>
      <c r="F44" s="8" t="str">
        <f>_xlfn.DISPIMG("ID_4DF0537FD9FB4C5CA71E5EB5A217F91B",1)</f>
        <v>=DISPIMG("ID_4DF0537FD9FB4C5CA71E5EB5A217F91B",1)</v>
      </c>
      <c r="G44" s="6">
        <v>4</v>
      </c>
      <c r="H44" s="6">
        <v>4</v>
      </c>
      <c r="I44" s="7" t="s">
        <v>50</v>
      </c>
    </row>
    <row r="45" ht="60" spans="1:9">
      <c r="A45" s="2" t="s">
        <v>9</v>
      </c>
      <c r="D45" s="4" t="s">
        <v>11</v>
      </c>
      <c r="E45" s="4" t="s">
        <v>12</v>
      </c>
      <c r="F45" s="8" t="str">
        <f>_xlfn.DISPIMG("ID_B15AB3D7F1674D14B756D17384A3AC73",1)</f>
        <v>=DISPIMG("ID_B15AB3D7F1674D14B756D17384A3AC73",1)</v>
      </c>
      <c r="G45" s="6">
        <v>4</v>
      </c>
      <c r="H45" s="6">
        <v>4</v>
      </c>
      <c r="I45" s="7" t="s">
        <v>51</v>
      </c>
    </row>
    <row r="46" ht="60" spans="1:9">
      <c r="A46" s="2" t="s">
        <v>9</v>
      </c>
      <c r="D46" s="4" t="s">
        <v>11</v>
      </c>
      <c r="E46" s="4" t="s">
        <v>12</v>
      </c>
      <c r="F46" s="8" t="str">
        <f>_xlfn.DISPIMG("ID_512025A8E3BE491FB805D49F294E42DC",1)</f>
        <v>=DISPIMG("ID_512025A8E3BE491FB805D49F294E42DC",1)</v>
      </c>
      <c r="G46" s="6">
        <v>4</v>
      </c>
      <c r="H46" s="6">
        <v>4</v>
      </c>
      <c r="I46" s="7" t="s">
        <v>52</v>
      </c>
    </row>
    <row r="47" ht="60" spans="1:9">
      <c r="A47" s="2" t="s">
        <v>9</v>
      </c>
      <c r="D47" s="4" t="s">
        <v>11</v>
      </c>
      <c r="E47" s="4" t="s">
        <v>12</v>
      </c>
      <c r="F47" s="8" t="str">
        <f>_xlfn.DISPIMG("ID_4588FB4316004D779B3E42C3CCE7D072",1)</f>
        <v>=DISPIMG("ID_4588FB4316004D779B3E42C3CCE7D072",1)</v>
      </c>
      <c r="G47" s="6">
        <v>4</v>
      </c>
      <c r="H47" s="6">
        <v>4</v>
      </c>
      <c r="I47" s="7" t="s">
        <v>53</v>
      </c>
    </row>
    <row r="48" ht="60" spans="1:9">
      <c r="A48" s="2" t="s">
        <v>9</v>
      </c>
      <c r="D48" s="4" t="s">
        <v>11</v>
      </c>
      <c r="E48" s="4" t="s">
        <v>12</v>
      </c>
      <c r="F48" s="8" t="str">
        <f>_xlfn.DISPIMG("ID_2ADCFC4423864A359519EA754FFFC13B",1)</f>
        <v>=DISPIMG("ID_2ADCFC4423864A359519EA754FFFC13B",1)</v>
      </c>
      <c r="G48" s="6">
        <v>4</v>
      </c>
      <c r="H48" s="6">
        <v>4</v>
      </c>
      <c r="I48" s="7" t="s">
        <v>54</v>
      </c>
    </row>
    <row r="49" ht="60" spans="1:9">
      <c r="A49" s="2" t="s">
        <v>9</v>
      </c>
      <c r="D49" s="4" t="s">
        <v>11</v>
      </c>
      <c r="E49" s="4" t="s">
        <v>12</v>
      </c>
      <c r="F49" s="8" t="str">
        <f>_xlfn.DISPIMG("ID_D0451D57C1BF4F2FA752C67175DB43BA",1)</f>
        <v>=DISPIMG("ID_D0451D57C1BF4F2FA752C67175DB43BA",1)</v>
      </c>
      <c r="G49" s="6">
        <v>4</v>
      </c>
      <c r="H49" s="6">
        <v>4</v>
      </c>
      <c r="I49" s="7" t="s">
        <v>55</v>
      </c>
    </row>
    <row r="50" ht="60" spans="1:9">
      <c r="A50" s="2" t="s">
        <v>9</v>
      </c>
      <c r="D50" s="4" t="s">
        <v>11</v>
      </c>
      <c r="E50" s="4" t="s">
        <v>12</v>
      </c>
      <c r="F50" s="8" t="str">
        <f>_xlfn.DISPIMG("ID_A6E3FDD7937541CC9C1CE297B6F78274",1)</f>
        <v>=DISPIMG("ID_A6E3FDD7937541CC9C1CE297B6F78274",1)</v>
      </c>
      <c r="G50" s="6">
        <v>4</v>
      </c>
      <c r="H50" s="6">
        <v>4</v>
      </c>
      <c r="I50" s="7" t="s">
        <v>56</v>
      </c>
    </row>
    <row r="51" ht="60" spans="1:9">
      <c r="A51" s="2" t="s">
        <v>9</v>
      </c>
      <c r="D51" s="4" t="s">
        <v>11</v>
      </c>
      <c r="E51" s="4" t="s">
        <v>12</v>
      </c>
      <c r="F51" s="8" t="str">
        <f>_xlfn.DISPIMG("ID_CB616900CEEC4206B13D39DC681022C5",1)</f>
        <v>=DISPIMG("ID_CB616900CEEC4206B13D39DC681022C5",1)</v>
      </c>
      <c r="G51" s="6">
        <v>4</v>
      </c>
      <c r="H51" s="6">
        <v>4</v>
      </c>
      <c r="I51" s="7" t="s">
        <v>57</v>
      </c>
    </row>
    <row r="52" ht="60" spans="1:9">
      <c r="A52" s="2" t="s">
        <v>9</v>
      </c>
      <c r="D52" s="4" t="s">
        <v>11</v>
      </c>
      <c r="E52" s="4" t="s">
        <v>12</v>
      </c>
      <c r="F52" s="8" t="str">
        <f>_xlfn.DISPIMG("ID_1205BA9DFF3C4239A272835710B20E0F",1)</f>
        <v>=DISPIMG("ID_1205BA9DFF3C4239A272835710B20E0F",1)</v>
      </c>
      <c r="G52" s="6">
        <v>4</v>
      </c>
      <c r="H52" s="6">
        <v>4</v>
      </c>
      <c r="I52" s="7" t="s">
        <v>27</v>
      </c>
    </row>
    <row r="53" ht="60" spans="1:9">
      <c r="A53" s="2" t="s">
        <v>9</v>
      </c>
      <c r="D53" s="4" t="s">
        <v>11</v>
      </c>
      <c r="E53" s="4" t="s">
        <v>12</v>
      </c>
      <c r="F53" s="8" t="str">
        <f>_xlfn.DISPIMG("ID_B01C6E82B6344B839706A6644A0A5C19",1)</f>
        <v>=DISPIMG("ID_B01C6E82B6344B839706A6644A0A5C19",1)</v>
      </c>
      <c r="G53" s="6">
        <v>4</v>
      </c>
      <c r="H53" s="6">
        <v>4</v>
      </c>
      <c r="I53" s="7" t="s">
        <v>28</v>
      </c>
    </row>
    <row r="54" ht="60" spans="1:9">
      <c r="A54" s="2" t="s">
        <v>9</v>
      </c>
      <c r="D54" s="4" t="s">
        <v>11</v>
      </c>
      <c r="E54" s="4" t="s">
        <v>12</v>
      </c>
      <c r="F54" s="8" t="str">
        <f>_xlfn.DISPIMG("ID_B14B29191E4B4395B46119C1CF37AD3A",1)</f>
        <v>=DISPIMG("ID_B14B29191E4B4395B46119C1CF37AD3A",1)</v>
      </c>
      <c r="G54" s="6">
        <v>4</v>
      </c>
      <c r="H54" s="6">
        <v>4</v>
      </c>
      <c r="I54" s="7" t="s">
        <v>29</v>
      </c>
    </row>
    <row r="55" ht="60" spans="1:9">
      <c r="A55" s="2" t="s">
        <v>9</v>
      </c>
      <c r="D55" s="4" t="s">
        <v>11</v>
      </c>
      <c r="E55" s="4" t="s">
        <v>12</v>
      </c>
      <c r="F55" s="8" t="str">
        <f>_xlfn.DISPIMG("ID_B1701DF836454849BCF0918A8AC92EDD",1)</f>
        <v>=DISPIMG("ID_B1701DF836454849BCF0918A8AC92EDD",1)</v>
      </c>
      <c r="G55" s="6">
        <v>4</v>
      </c>
      <c r="H55" s="6">
        <v>4</v>
      </c>
      <c r="I55" s="7" t="s">
        <v>30</v>
      </c>
    </row>
    <row r="56" ht="60" spans="1:9">
      <c r="A56" s="2" t="s">
        <v>9</v>
      </c>
      <c r="D56" s="4" t="s">
        <v>11</v>
      </c>
      <c r="E56" s="4" t="s">
        <v>12</v>
      </c>
      <c r="F56" s="8" t="str">
        <f>_xlfn.DISPIMG("ID_5AD56360CDC84F80AA89467DB22D229C",1)</f>
        <v>=DISPIMG("ID_5AD56360CDC84F80AA89467DB22D229C",1)</v>
      </c>
      <c r="G56" s="6">
        <v>4</v>
      </c>
      <c r="H56" s="6">
        <v>4</v>
      </c>
      <c r="I56" s="7" t="s">
        <v>31</v>
      </c>
    </row>
    <row r="57" ht="60" spans="1:9">
      <c r="A57" s="2" t="s">
        <v>9</v>
      </c>
      <c r="D57" s="4" t="s">
        <v>11</v>
      </c>
      <c r="E57" s="4" t="s">
        <v>12</v>
      </c>
      <c r="F57" s="8" t="str">
        <f>_xlfn.DISPIMG("ID_E7A681E198934C22B60BE620C148ADA2",1)</f>
        <v>=DISPIMG("ID_E7A681E198934C22B60BE620C148ADA2",1)</v>
      </c>
      <c r="G57" s="6">
        <v>4</v>
      </c>
      <c r="H57" s="6">
        <v>4</v>
      </c>
      <c r="I57" s="7" t="s">
        <v>32</v>
      </c>
    </row>
    <row r="58" ht="60" spans="1:9">
      <c r="A58" s="2" t="s">
        <v>9</v>
      </c>
      <c r="D58" s="4" t="s">
        <v>11</v>
      </c>
      <c r="E58" s="4" t="s">
        <v>12</v>
      </c>
      <c r="F58" s="8" t="str">
        <f>_xlfn.DISPIMG("ID_98C1E34D777E4B46A85333567B2F1981",1)</f>
        <v>=DISPIMG("ID_98C1E34D777E4B46A85333567B2F1981",1)</v>
      </c>
      <c r="G58" s="6">
        <v>4</v>
      </c>
      <c r="H58" s="6">
        <v>4</v>
      </c>
      <c r="I58" s="7" t="s">
        <v>58</v>
      </c>
    </row>
    <row r="59" ht="60" spans="1:9">
      <c r="A59" s="2" t="s">
        <v>9</v>
      </c>
      <c r="D59" s="4" t="s">
        <v>11</v>
      </c>
      <c r="E59" s="4" t="s">
        <v>12</v>
      </c>
      <c r="F59" s="8" t="str">
        <f>_xlfn.DISPIMG("ID_6D3A4B20860D41AB97C89A796D9E51F3",1)</f>
        <v>=DISPIMG("ID_6D3A4B20860D41AB97C89A796D9E51F3",1)</v>
      </c>
      <c r="G59" s="6">
        <v>4</v>
      </c>
      <c r="H59" s="6">
        <v>4</v>
      </c>
      <c r="I59" s="7" t="s">
        <v>33</v>
      </c>
    </row>
    <row r="60" ht="60" spans="1:9">
      <c r="A60" s="2" t="s">
        <v>9</v>
      </c>
      <c r="D60" s="4" t="s">
        <v>11</v>
      </c>
      <c r="E60" s="4" t="s">
        <v>12</v>
      </c>
      <c r="F60" s="8" t="str">
        <f>_xlfn.DISPIMG("ID_CC2114556E7742D783BD1BE97EE4251F",1)</f>
        <v>=DISPIMG("ID_CC2114556E7742D783BD1BE97EE4251F",1)</v>
      </c>
      <c r="G60" s="6">
        <v>4</v>
      </c>
      <c r="H60" s="6">
        <v>4</v>
      </c>
      <c r="I60" s="7" t="s">
        <v>34</v>
      </c>
    </row>
    <row r="61" ht="60" spans="1:9">
      <c r="A61" s="2" t="s">
        <v>9</v>
      </c>
      <c r="D61" s="4" t="s">
        <v>11</v>
      </c>
      <c r="E61" s="4" t="s">
        <v>12</v>
      </c>
      <c r="F61" s="8" t="str">
        <f>_xlfn.DISPIMG("ID_BB2A71C73BE048C69AEABD525E5BB969",1)</f>
        <v>=DISPIMG("ID_BB2A71C73BE048C69AEABD525E5BB969",1)</v>
      </c>
      <c r="G61" s="6">
        <v>4</v>
      </c>
      <c r="H61" s="6">
        <v>4</v>
      </c>
      <c r="I61" s="7" t="s">
        <v>35</v>
      </c>
    </row>
  </sheetData>
  <pageMargins left="0.7" right="0.7" top="0.75" bottom="0.75" header="0.3" footer="0.3"/>
  <headerFooter/>
  <ignoredErrors>
    <ignoredError sqref="E2:E6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试题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18379146155</cp:lastModifiedBy>
  <dcterms:created xsi:type="dcterms:W3CDTF">2026-03-04T07:00:00Z</dcterms:created>
  <dcterms:modified xsi:type="dcterms:W3CDTF">2026-04-02T01:31:26Z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8C2CEE38F5EA490691104A6AAC7DFADE_13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