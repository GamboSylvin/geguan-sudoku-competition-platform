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7-9六宫不规则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70" name="ID_6E914A58AD1D4852BC7108AE66D94383" descr="六宫不规则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882640" y="15367000"/>
          <a:ext cx="2736215" cy="2736215"/>
        </a:xfrm>
        <a:prstGeom prst="rect">
          <a:avLst/>
        </a:prstGeom>
      </xdr:spPr>
    </xdr:pic>
  </etc:cellImage>
  <etc:cellImage>
    <xdr:pic>
      <xdr:nvPicPr>
        <xdr:cNvPr id="175" name="ID_3432B17A096C4F839047253FEA185C31" descr="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551545" y="5851525"/>
          <a:ext cx="5510530" cy="5505450"/>
        </a:xfrm>
        <a:prstGeom prst="rect">
          <a:avLst/>
        </a:prstGeom>
      </xdr:spPr>
    </xdr:pic>
  </etc:cellImage>
  <etc:cellImage>
    <xdr:pic>
      <xdr:nvPicPr>
        <xdr:cNvPr id="71" name="ID_6A778FC65300472DB5E06C88165E64FC" descr="六宫不规则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882640" y="13462000"/>
          <a:ext cx="2736215" cy="2736215"/>
        </a:xfrm>
        <a:prstGeom prst="rect">
          <a:avLst/>
        </a:prstGeom>
      </xdr:spPr>
    </xdr:pic>
  </etc:cellImage>
  <etc:cellImage>
    <xdr:pic>
      <xdr:nvPicPr>
        <xdr:cNvPr id="170" name="ID_49F178DAF3E64C1FB2891895A6EE13CB" descr="1 (3)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8551545" y="2033270"/>
          <a:ext cx="5510530" cy="5513705"/>
        </a:xfrm>
        <a:prstGeom prst="rect">
          <a:avLst/>
        </a:prstGeom>
      </xdr:spPr>
    </xdr:pic>
  </etc:cellImage>
  <etc:cellImage>
    <xdr:pic>
      <xdr:nvPicPr>
        <xdr:cNvPr id="169" name="ID_4CC6076C037A413E8CFDE78CAAA826A2" descr="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8551545" y="3946525"/>
          <a:ext cx="5510530" cy="5505450"/>
        </a:xfrm>
        <a:prstGeom prst="rect">
          <a:avLst/>
        </a:prstGeom>
      </xdr:spPr>
    </xdr:pic>
  </etc:cellImage>
  <etc:cellImage>
    <xdr:pic>
      <xdr:nvPicPr>
        <xdr:cNvPr id="179" name="ID_6536520A35D44CD982CC03D2A3EC0CCA" descr="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8551545" y="15376525"/>
          <a:ext cx="5510530" cy="5505450"/>
        </a:xfrm>
        <a:prstGeom prst="rect">
          <a:avLst/>
        </a:prstGeom>
      </xdr:spPr>
    </xdr:pic>
  </etc:cellImage>
  <etc:cellImage>
    <xdr:pic>
      <xdr:nvPicPr>
        <xdr:cNvPr id="177" name="ID_CB8E0BBDDD554302B41AC97897AFC493" descr="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8551545" y="13471525"/>
          <a:ext cx="5510530" cy="5505450"/>
        </a:xfrm>
        <a:prstGeom prst="rect">
          <a:avLst/>
        </a:prstGeom>
      </xdr:spPr>
    </xdr:pic>
  </etc:cellImage>
  <etc:cellImage>
    <xdr:pic>
      <xdr:nvPicPr>
        <xdr:cNvPr id="173" name="ID_4C02C8AB49954D779A2EEBFB65CFC5F1" descr="4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8551545" y="7756525"/>
          <a:ext cx="5510530" cy="5505450"/>
        </a:xfrm>
        <a:prstGeom prst="rect">
          <a:avLst/>
        </a:prstGeom>
      </xdr:spPr>
    </xdr:pic>
  </etc:cellImage>
  <etc:cellImage>
    <xdr:pic>
      <xdr:nvPicPr>
        <xdr:cNvPr id="69" name="ID_34A4D5A04ECF4CBC93B8D76F98622262" descr="六宫不规则3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5882640" y="5842000"/>
          <a:ext cx="2736215" cy="2736215"/>
        </a:xfrm>
        <a:prstGeom prst="rect">
          <a:avLst/>
        </a:prstGeom>
      </xdr:spPr>
    </xdr:pic>
  </etc:cellImage>
  <etc:cellImage>
    <xdr:pic>
      <xdr:nvPicPr>
        <xdr:cNvPr id="171" name="ID_C9F432277A59442785A88DA98BAE2814" descr="5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8551545" y="9661525"/>
          <a:ext cx="5510530" cy="5505450"/>
        </a:xfrm>
        <a:prstGeom prst="rect">
          <a:avLst/>
        </a:prstGeom>
      </xdr:spPr>
    </xdr:pic>
  </etc:cellImage>
  <etc:cellImage>
    <xdr:pic>
      <xdr:nvPicPr>
        <xdr:cNvPr id="178" name="ID_0F81877CAD54499D929BAED5CE34D33C" descr="6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8551545" y="11566525"/>
          <a:ext cx="5510530" cy="5505450"/>
        </a:xfrm>
        <a:prstGeom prst="rect">
          <a:avLst/>
        </a:prstGeom>
      </xdr:spPr>
    </xdr:pic>
  </etc:cellImage>
  <etc:cellImage>
    <xdr:pic>
      <xdr:nvPicPr>
        <xdr:cNvPr id="180" name="ID_6E8C1BF16B5649628541ACB08E647571" descr="9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8551545" y="17281525"/>
          <a:ext cx="5510530" cy="5505450"/>
        </a:xfrm>
        <a:prstGeom prst="rect">
          <a:avLst/>
        </a:prstGeom>
      </xdr:spPr>
    </xdr:pic>
  </etc:cellImage>
  <etc:cellImage>
    <xdr:pic>
      <xdr:nvPicPr>
        <xdr:cNvPr id="181" name="ID_5245208E36DC4B76BE8FB65662C76DE3" descr="10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8551545" y="19186525"/>
          <a:ext cx="5510530" cy="5505450"/>
        </a:xfrm>
        <a:prstGeom prst="rect">
          <a:avLst/>
        </a:prstGeom>
      </xdr:spPr>
    </xdr:pic>
  </etc:cellImage>
  <etc:cellImage>
    <xdr:pic>
      <xdr:nvPicPr>
        <xdr:cNvPr id="182" name="ID_38B52174CFD948A5A3AB36FB32DF2390" descr="不规则11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8551545" y="21091525"/>
          <a:ext cx="5510530" cy="5505450"/>
        </a:xfrm>
        <a:prstGeom prst="rect">
          <a:avLst/>
        </a:prstGeom>
      </xdr:spPr>
    </xdr:pic>
  </etc:cellImage>
  <etc:cellImage>
    <xdr:pic>
      <xdr:nvPicPr>
        <xdr:cNvPr id="183" name="ID_350F334A1A3A413BA0F8587CD845E973" descr="不规则12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8551545" y="22996525"/>
          <a:ext cx="5510530" cy="5505450"/>
        </a:xfrm>
        <a:prstGeom prst="rect">
          <a:avLst/>
        </a:prstGeom>
      </xdr:spPr>
    </xdr:pic>
  </etc:cellImage>
  <etc:cellImage>
    <xdr:pic>
      <xdr:nvPicPr>
        <xdr:cNvPr id="184" name="ID_F876FC7DAC6040EFA2E5F161D4ECDCB3" descr="不规则13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8551545" y="24901525"/>
          <a:ext cx="5510530" cy="5505450"/>
        </a:xfrm>
        <a:prstGeom prst="rect">
          <a:avLst/>
        </a:prstGeom>
      </xdr:spPr>
    </xdr:pic>
  </etc:cellImage>
  <etc:cellImage>
    <xdr:pic>
      <xdr:nvPicPr>
        <xdr:cNvPr id="185" name="ID_7F7299F4D78A487C91C3AA23B86CD5A1" descr="不规则14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8551545" y="26806525"/>
          <a:ext cx="5510530" cy="5505450"/>
        </a:xfrm>
        <a:prstGeom prst="rect">
          <a:avLst/>
        </a:prstGeom>
      </xdr:spPr>
    </xdr:pic>
  </etc:cellImage>
  <etc:cellImage>
    <xdr:pic>
      <xdr:nvPicPr>
        <xdr:cNvPr id="186" name="ID_AB18274810F447DBA029558A959E9637" descr="不规则15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8551545" y="28711525"/>
          <a:ext cx="5510530" cy="5505450"/>
        </a:xfrm>
        <a:prstGeom prst="rect">
          <a:avLst/>
        </a:prstGeom>
      </xdr:spPr>
    </xdr:pic>
  </etc:cellImage>
  <etc:cellImage>
    <xdr:pic>
      <xdr:nvPicPr>
        <xdr:cNvPr id="168" name="ID_B119EDF839804F298A0A4D1A5E136BA7" descr="不规则16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8551545" y="30616525"/>
          <a:ext cx="5510530" cy="5505450"/>
        </a:xfrm>
        <a:prstGeom prst="rect">
          <a:avLst/>
        </a:prstGeom>
      </xdr:spPr>
    </xdr:pic>
  </etc:cellImage>
  <etc:cellImage>
    <xdr:pic>
      <xdr:nvPicPr>
        <xdr:cNvPr id="172" name="ID_5EFA7AFFC34E4FBE828FE90B9CB1363B" descr="不规则17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8551545" y="32521525"/>
          <a:ext cx="5510530" cy="5505450"/>
        </a:xfrm>
        <a:prstGeom prst="rect">
          <a:avLst/>
        </a:prstGeom>
      </xdr:spPr>
    </xdr:pic>
  </etc:cellImage>
  <etc:cellImage>
    <xdr:pic>
      <xdr:nvPicPr>
        <xdr:cNvPr id="174" name="ID_EC39BA1DEC6342DFAABA95A8A1445520" descr="不规则18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8551545" y="34426525"/>
          <a:ext cx="5510530" cy="5505450"/>
        </a:xfrm>
        <a:prstGeom prst="rect">
          <a:avLst/>
        </a:prstGeom>
      </xdr:spPr>
    </xdr:pic>
  </etc:cellImage>
  <etc:cellImage>
    <xdr:pic>
      <xdr:nvPicPr>
        <xdr:cNvPr id="187" name="ID_1CCACD61013B4632B7B5A90A98316768" descr="不规则19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8551545" y="36331525"/>
          <a:ext cx="5510530" cy="5505450"/>
        </a:xfrm>
        <a:prstGeom prst="rect">
          <a:avLst/>
        </a:prstGeom>
      </xdr:spPr>
    </xdr:pic>
  </etc:cellImage>
  <etc:cellImage>
    <xdr:pic>
      <xdr:nvPicPr>
        <xdr:cNvPr id="176" name="ID_6B6CB0AE126149DC83F85A62DDEDCC57" descr="不规则20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8551545" y="38236525"/>
          <a:ext cx="5510530" cy="5505450"/>
        </a:xfrm>
        <a:prstGeom prst="rect">
          <a:avLst/>
        </a:prstGeom>
      </xdr:spPr>
    </xdr:pic>
  </etc:cellImage>
  <etc:cellImage>
    <xdr:pic>
      <xdr:nvPicPr>
        <xdr:cNvPr id="66" name="ID_3C8C47756A194D459A390E773163B38B" descr="六宫不规则1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5882640" y="2032000"/>
          <a:ext cx="2736215" cy="2736215"/>
        </a:xfrm>
        <a:prstGeom prst="rect">
          <a:avLst/>
        </a:prstGeom>
      </xdr:spPr>
    </xdr:pic>
  </etc:cellImage>
  <etc:cellImage>
    <xdr:pic>
      <xdr:nvPicPr>
        <xdr:cNvPr id="65" name="ID_F1FBC0E4A5F34397B8C690D907BC9125" descr="六宫不规则2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5882640" y="3937000"/>
          <a:ext cx="2736215" cy="2736215"/>
        </a:xfrm>
        <a:prstGeom prst="rect">
          <a:avLst/>
        </a:prstGeom>
      </xdr:spPr>
    </xdr:pic>
  </etc:cellImage>
  <etc:cellImage>
    <xdr:pic>
      <xdr:nvPicPr>
        <xdr:cNvPr id="64" name="ID_9425F8D5AD904533A4462EB985A4BEE8" descr="六宫不规则5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5882640" y="9652000"/>
          <a:ext cx="2736215" cy="2736215"/>
        </a:xfrm>
        <a:prstGeom prst="rect">
          <a:avLst/>
        </a:prstGeom>
      </xdr:spPr>
    </xdr:pic>
  </etc:cellImage>
  <etc:cellImage>
    <xdr:pic>
      <xdr:nvPicPr>
        <xdr:cNvPr id="68" name="ID_6924F5A833A44F308D80C2FB27F01C6D" descr="六宫不规则4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5882640" y="7747000"/>
          <a:ext cx="2736215" cy="2736215"/>
        </a:xfrm>
        <a:prstGeom prst="rect">
          <a:avLst/>
        </a:prstGeom>
      </xdr:spPr>
    </xdr:pic>
  </etc:cellImage>
  <etc:cellImage>
    <xdr:pic>
      <xdr:nvPicPr>
        <xdr:cNvPr id="67" name="ID_33F95A27DC284174994CD6AA24C0B413" descr="六宫不规则6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5882640" y="11557000"/>
          <a:ext cx="2736215" cy="2736215"/>
        </a:xfrm>
        <a:prstGeom prst="rect">
          <a:avLst/>
        </a:prstGeom>
      </xdr:spPr>
    </xdr:pic>
  </etc:cellImage>
  <etc:cellImage>
    <xdr:pic>
      <xdr:nvPicPr>
        <xdr:cNvPr id="72" name="ID_63C3E2986F174496B2B6DF0D5BB89BAE" descr="六宫不规则9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5882640" y="17272000"/>
          <a:ext cx="2736215" cy="2736215"/>
        </a:xfrm>
        <a:prstGeom prst="rect">
          <a:avLst/>
        </a:prstGeom>
      </xdr:spPr>
    </xdr:pic>
  </etc:cellImage>
  <etc:cellImage>
    <xdr:pic>
      <xdr:nvPicPr>
        <xdr:cNvPr id="73" name="ID_6333CDC5432A4248B88E11AC17A1CC5B" descr="六宫不规则10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5882640" y="19177000"/>
          <a:ext cx="2736215" cy="2736215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<sst xmlns="http://schemas.openxmlformats.org/spreadsheetml/2006/main" count="100" uniqueCount="42">
  <si>
    <t>题目</t>
  </si>
  <si>
    <t>题目配图</t>
  </si>
  <si>
    <t>题目音频</t>
  </si>
  <si>
    <t>*类目</t>
  </si>
  <si>
    <t>*分数</t>
  </si>
  <si>
    <t>*数独底图</t>
  </si>
  <si>
    <t>*水平长度</t>
  </si>
  <si>
    <t>*垂直长度</t>
  </si>
  <si>
    <t>*正确答案</t>
  </si>
  <si>
    <t>在每行、每列、每个不规则粗线宫内填入数字1-6，并且每行、每列、每个不规则粗线宫里的数字都不能重复。</t>
  </si>
  <si>
    <t/>
  </si>
  <si>
    <t>六宫不规则数独</t>
  </si>
  <si>
    <t>[,5,,3,4,2],
[2,3,4,6,,1],
[5,1,6,2,3,],
[,6,3,1,2,5],
[3,,5,4,1,6],
[1,4,2,,6,]</t>
  </si>
  <si>
    <t>[,,5,,1,2],
[1,5,4,2,3,6],
[,2,,4,5,3],
[3,4,6,,2,],
[5,3,2,6,4,1],
[2,1,,5,,]</t>
  </si>
  <si>
    <t>[6,,,3,4,5],
[,4,3,2,,1],
[1,6,,5,3,],
[,3,5,,1,4],
[3,,2,4,5,],
[4,5,6,,,3]</t>
  </si>
  <si>
    <t>[5,,6,,1,],
[1,3,4,,5,6],
[6,4,,5,2,],
[,5,2,,6,1],
[2,1,,6,4,5],
[,6,,1,,2]</t>
  </si>
  <si>
    <t>[,5,6,,1,3],
[3,1,4,5,,],
[6,,3,,5,4],
[2,6,,4,,5],
[,,2,6,4,1],
[1,4,,3,2,]</t>
  </si>
  <si>
    <t>[2,1,4,6,,3],
[5,6,,1,,4],
[3,4,6,5,1,],
[,2,5,3,4,6],
[6,,2,,3,1],
[4,,1,2,6,5]</t>
  </si>
  <si>
    <t>[2,1,,5,6,4],
[6,,4,2,1,5],
[5,4,6,,3,],
[,2,,6,4,1],
[4,5,1,3,,6],
[1,6,2,,5,3]</t>
  </si>
  <si>
    <t>[4,5,,3,,1],
[3,2,1,6,4,],
[6,1,5,,3,],
[,6,,5,1,3],
[,4,3,2,5,6],
[5,,6,,2,4]</t>
  </si>
  <si>
    <t>[,2,,3,4,1],
[1,3,4,6,2,],
[5,,1,,6,3],
[2,6,,5,,4],
[,1,6,4,5,2],
[4,5,2,,3,]</t>
  </si>
  <si>
    <t>[,6,,4,2,5],
[2,5,4,1,,6],
[6,3,,2,1,4],
[4,1,2,,5,3],
[5,,1,3,6,2],
[3,2,6,,4,]</t>
  </si>
  <si>
    <t>[1,3,5,4,,2],
[,6,2,,4,3],
[,4,6,3,,1],
[4,,3,2,1,],
[6,2,,5,3,],
[3,,4,6,2,5]</t>
  </si>
  <si>
    <t>[4,6,3,,5,1],
[2,3,5,4,1,],
[3,,6,,4,2],
[5,4,,6,,3],
[,5,2,1,3,4],
[1,2,,3,6,5]</t>
  </si>
  <si>
    <t>[,6,4,2,3,5],
[2,5,3,,4,],
[3,,,5,6,2],
[6,2,5,,,4],
[,1,,4,2,3],
[4,3,2,1,5,]</t>
  </si>
  <si>
    <t>[5,,1,,4,],
[,6,3,5,1,2],
[3,,4,2,6,],
[,1,6,4,,3],
[6,4,2,1,3,],
[,3,,6,,4]</t>
  </si>
  <si>
    <t>[,,4,,1,5],
[1,4,,3,6,2],
[5,3,1,2,4,6],
[6,5,2,1,3,4],
[2,6,3,,5,1],
[4,1,,5,,]</t>
  </si>
  <si>
    <t>[5,6,,3,,2],
[1,2,5,4,3,],
[4,,6,2,1,],
[,1,2,6,,4],
[,3,4,5,2,1],
[2,,3,,6,5]</t>
  </si>
  <si>
    <t>[5,,2,3,6,4],
[6,3,,2,,1],
[4,5,6,1,,],
[,,1,6,5,3],
[3,,4,,1,6],
[1,6,3,4,,5]</t>
  </si>
  <si>
    <t>[4,,6,2,3,5],
[3,6,1,,5,2],
[1,,2,5,4,],
[,4,5,3,,1],
[6,5,,1,2,3],
[5,2,3,6,,4]</t>
  </si>
  <si>
    <t>[2,5,,6,3,],
[6,4,,3,1,5],
[5,,3,4,6,],
[,6,5,1,,4],
[4,3,1,,5,6],
[,2,6,,4,3]</t>
  </si>
  <si>
    <t>[5,,,2,6,1],
[2,6,1,5,,3],
[,4,,6,2,5],
[4,5,6,,3,],
[6,,5,3,1,4],
[3,1,2,,,6]</t>
  </si>
  <si>
    <t>[6,5,,,1,4],
[1,2,6,4,,5],
[,1,5,2,6,3],
[,4,1,5,2,6],
[5,,3,1,,2],
[2,3,4,6,5,]</t>
  </si>
  <si>
    <t>[3,5,,6,,1],
[,2,1,5,,3],
[1,4,,2,6,5],
[2,6,5,,1,4],
[5,,6,4,3,],
[4,,2,,5,6]</t>
  </si>
  <si>
    <t>[2,,5,1,,4],
[3,4,1,6,2,5],
[,2,3,5,4,],
[1,5,,,6,3],
[,1,6,3,5,],
[5,,2,4,,6]</t>
  </si>
  <si>
    <t>[4,,2,,3,6],
[2,3,6,4,1,],
[,6,,3,4,2],
[1,5,4,,6,],
[,2,3,1,5,4],
[3,4,,6,,1]</t>
  </si>
  <si>
    <t>[1,5,,2,,6],
[6,,1,4,5,],
[2,4,5,,1,3],
[3,1,6,,2,4],
[5,,4,3,6,],
[4,6,,1,,5]</t>
  </si>
  <si>
    <t>[5,,2,6,4,3],
[4,6,3,,5,],
[1,5,,4,,2],
[,3,4,1,6,5],
[6,2,5,3,1,4],
[,,1,5,2,6]</t>
  </si>
  <si>
    <t>[,6,5,1,3,],
[6,3,2,4,1,5],
[,2,4,5,6,],
[5,1,6,3,2,4],
[2,,3,6,,1],
[3,4,,,5,6]</t>
  </si>
  <si>
    <t>[3,1,5,6,,2],
[4,3,1,5,2,],
[,6,,4,3,1],
[2,,6,,1,5],
[6,2,,1,5,3],
[,5,3,,6,4]</t>
  </si>
  <si>
    <t>[2,1,,4,6,5],
[6,5,4,3,,1],
[5,,2,1,4,],
[4,,1,6,5,],
[3,4,5,2,,6],
[,2,6,,3,4]</t>
  </si>
  <si>
    <t>[,4,1,2,,6],
[3,6,4,,2,],
[2,1,,3,4,5],
[4,5,,1,6,2],
[6,2,5,,1,],
[,3,2,6,,4]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</si>
</sst>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 wrapText="1"/>
    </xf>
    <xf numFmtId="49" fontId="0" fillId="0" borderId="0" xfId="0" applyNumberFormat="1" applyFont="1" applyFill="1" applyAlignment="1">
      <alignment horizontal="center" vertical="center" wrapText="1"/>
    </xf>
    <xf numFmtId="49" fontId="0" fillId="0" borderId="0" xfId="0" applyNumberFormat="1" applyFont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2" fillId="0" borderId="0" xfId="6" applyFill="1">
      <alignment vertical="center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9.png"/><Relationship Id="rId8" Type="http://schemas.openxmlformats.org/officeDocument/2006/relationships/image" Target="media/image8.png"/><Relationship Id="rId7" Type="http://schemas.openxmlformats.org/officeDocument/2006/relationships/image" Target="media/image7.png"/><Relationship Id="rId6" Type="http://schemas.openxmlformats.org/officeDocument/2006/relationships/image" Target="media/image6.png"/><Relationship Id="rId5" Type="http://schemas.openxmlformats.org/officeDocument/2006/relationships/image" Target="media/image5.png"/><Relationship Id="rId4" Type="http://schemas.openxmlformats.org/officeDocument/2006/relationships/image" Target="media/image4.png"/><Relationship Id="rId30" Type="http://schemas.openxmlformats.org/officeDocument/2006/relationships/image" Target="media/image30.png"/><Relationship Id="rId3" Type="http://schemas.openxmlformats.org/officeDocument/2006/relationships/image" Target="media/image3.png"/><Relationship Id="rId29" Type="http://schemas.openxmlformats.org/officeDocument/2006/relationships/image" Target="media/image29.png"/><Relationship Id="rId28" Type="http://schemas.openxmlformats.org/officeDocument/2006/relationships/image" Target="media/image28.png"/><Relationship Id="rId27" Type="http://schemas.openxmlformats.org/officeDocument/2006/relationships/image" Target="media/image27.png"/><Relationship Id="rId26" Type="http://schemas.openxmlformats.org/officeDocument/2006/relationships/image" Target="media/image26.png"/><Relationship Id="rId25" Type="http://schemas.openxmlformats.org/officeDocument/2006/relationships/image" Target="media/image25.png"/><Relationship Id="rId24" Type="http://schemas.openxmlformats.org/officeDocument/2006/relationships/image" Target="media/image24.png"/><Relationship Id="rId23" Type="http://schemas.openxmlformats.org/officeDocument/2006/relationships/image" Target="media/image23.png"/><Relationship Id="rId22" Type="http://schemas.openxmlformats.org/officeDocument/2006/relationships/image" Target="media/image22.png"/><Relationship Id="rId21" Type="http://schemas.openxmlformats.org/officeDocument/2006/relationships/image" Target="media/image21.png"/><Relationship Id="rId20" Type="http://schemas.openxmlformats.org/officeDocument/2006/relationships/image" Target="media/image20.png"/><Relationship Id="rId2" Type="http://schemas.openxmlformats.org/officeDocument/2006/relationships/image" Target="media/image2.png"/><Relationship Id="rId19" Type="http://schemas.openxmlformats.org/officeDocument/2006/relationships/image" Target="media/image19.png"/><Relationship Id="rId18" Type="http://schemas.openxmlformats.org/officeDocument/2006/relationships/image" Target="media/image18.png"/><Relationship Id="rId17" Type="http://schemas.openxmlformats.org/officeDocument/2006/relationships/image" Target="media/image17.png"/><Relationship Id="rId16" Type="http://schemas.openxmlformats.org/officeDocument/2006/relationships/image" Target="media/image16.png"/><Relationship Id="rId15" Type="http://schemas.openxmlformats.org/officeDocument/2006/relationships/image" Target="media/image15.png"/><Relationship Id="rId14" Type="http://schemas.openxmlformats.org/officeDocument/2006/relationships/image" Target="media/image14.png"/><Relationship Id="rId13" Type="http://schemas.openxmlformats.org/officeDocument/2006/relationships/image" Target="media/image13.png"/><Relationship Id="rId12" Type="http://schemas.openxmlformats.org/officeDocument/2006/relationships/image" Target="media/image12.png"/><Relationship Id="rId11" Type="http://schemas.openxmlformats.org/officeDocument/2006/relationships/image" Target="media/image11.png"/><Relationship Id="rId10" Type="http://schemas.openxmlformats.org/officeDocument/2006/relationships/image" Target="media/image10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1"/>
  <sheetViews>
    <sheetView tabSelected="1" zoomScale="90" zoomScaleNormal="90" workbookViewId="0">
      <pane ySplit="1" topLeftCell="A2" activePane="bottomLeft" state="frozen"/>
      <selection/>
      <selection pane="bottomLeft" activeCell="O12" sqref="O12"/>
    </sheetView>
  </sheetViews>
  <sheetFormatPr defaultColWidth="9" defaultRowHeight="13.5"/>
  <cols>
    <col min="1" max="1" width="50" style="1" customWidth="1"/>
    <col min="2" max="3" width="20" style="1" customWidth="1"/>
    <col min="4" max="5" width="15" style="1" customWidth="1"/>
    <col min="6" max="6" width="10" style="1" customWidth="1"/>
    <col min="7" max="9" width="15" style="1" customWidth="1"/>
    <col min="10" max="16384" width="9" style="1"/>
  </cols>
  <sheetData>
    <row r="1" ht="25" customHeight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25" customHeight="1" spans="1:9">
      <c r="A2" s="3" t="s">
        <v>9</v>
      </c>
      <c r="B2" s="4" t="s">
        <v>10</v>
      </c>
      <c r="D2" s="3" t="s">
        <v>11</v>
      </c>
      <c r="E2" s="5">
        <v>5</v>
      </c>
      <c r="F2" s="6" t="str">
        <f>_xlfn.DISPIMG("ID_49F178DAF3E64C1FB2891895A6EE13CB",1)</f>
        <v>=DISPIMG("ID_49F178DAF3E64C1FB2891895A6EE13CB",1)</v>
      </c>
      <c r="G2" s="5">
        <v>6</v>
      </c>
      <c r="H2" s="5">
        <v>6</v>
      </c>
      <c r="I2" s="7" t="s">
        <v>12</v>
      </c>
    </row>
    <row r="3" ht="81" spans="1:9">
      <c r="A3" s="3" t="s">
        <v>9</v>
      </c>
      <c r="D3" s="3" t="s">
        <v>11</v>
      </c>
      <c r="E3" s="5">
        <v>5</v>
      </c>
      <c r="F3" s="8" t="str">
        <f>_xlfn.DISPIMG("ID_4CC6076C037A413E8CFDE78CAAA826A2",1)</f>
        <v>=DISPIMG("ID_4CC6076C037A413E8CFDE78CAAA826A2",1)</v>
      </c>
      <c r="G3" s="5">
        <v>6</v>
      </c>
      <c r="H3" s="5">
        <v>6</v>
      </c>
      <c r="I3" s="7" t="s">
        <v>13</v>
      </c>
    </row>
    <row r="4" ht="81" spans="1:9">
      <c r="A4" s="3" t="s">
        <v>9</v>
      </c>
      <c r="D4" s="3" t="s">
        <v>11</v>
      </c>
      <c r="E4" s="5">
        <v>5</v>
      </c>
      <c r="F4" s="8" t="str">
        <f>_xlfn.DISPIMG("ID_3432B17A096C4F839047253FEA185C31",1)</f>
        <v>=DISPIMG("ID_3432B17A096C4F839047253FEA185C31",1)</v>
      </c>
      <c r="G4" s="5">
        <v>6</v>
      </c>
      <c r="H4" s="5">
        <v>6</v>
      </c>
      <c r="I4" s="7" t="s">
        <v>14</v>
      </c>
    </row>
    <row r="5" ht="81" spans="1:9">
      <c r="A5" s="3" t="s">
        <v>9</v>
      </c>
      <c r="D5" s="3" t="s">
        <v>11</v>
      </c>
      <c r="E5" s="5">
        <v>5</v>
      </c>
      <c r="F5" s="8" t="str">
        <f>_xlfn.DISPIMG("ID_4C02C8AB49954D779A2EEBFB65CFC5F1",1)</f>
        <v>=DISPIMG("ID_4C02C8AB49954D779A2EEBFB65CFC5F1",1)</v>
      </c>
      <c r="G5" s="5">
        <v>6</v>
      </c>
      <c r="H5" s="5">
        <v>6</v>
      </c>
      <c r="I5" s="7" t="s">
        <v>15</v>
      </c>
    </row>
    <row r="6" ht="81" spans="1:9">
      <c r="A6" s="3" t="s">
        <v>9</v>
      </c>
      <c r="D6" s="3" t="s">
        <v>11</v>
      </c>
      <c r="E6" s="5">
        <v>5</v>
      </c>
      <c r="F6" s="8" t="str">
        <f>_xlfn.DISPIMG("ID_C9F432277A59442785A88DA98BAE2814",1)</f>
        <v>=DISPIMG("ID_C9F432277A59442785A88DA98BAE2814",1)</v>
      </c>
      <c r="G6" s="5">
        <v>6</v>
      </c>
      <c r="H6" s="5">
        <v>6</v>
      </c>
      <c r="I6" s="7" t="s">
        <v>16</v>
      </c>
    </row>
    <row r="7" ht="81" spans="1:9">
      <c r="A7" s="3" t="s">
        <v>9</v>
      </c>
      <c r="D7" s="3" t="s">
        <v>11</v>
      </c>
      <c r="E7" s="5">
        <v>5</v>
      </c>
      <c r="F7" s="8" t="str">
        <f>_xlfn.DISPIMG("ID_0F81877CAD54499D929BAED5CE34D33C",1)</f>
        <v>=DISPIMG("ID_0F81877CAD54499D929BAED5CE34D33C",1)</v>
      </c>
      <c r="G7" s="5">
        <v>6</v>
      </c>
      <c r="H7" s="5">
        <v>6</v>
      </c>
      <c r="I7" s="7" t="s">
        <v>17</v>
      </c>
    </row>
    <row r="8" ht="81" spans="1:9">
      <c r="A8" s="3" t="s">
        <v>9</v>
      </c>
      <c r="D8" s="3" t="s">
        <v>11</v>
      </c>
      <c r="E8" s="5">
        <v>5</v>
      </c>
      <c r="F8" s="8" t="str">
        <f>_xlfn.DISPIMG("ID_CB8E0BBDDD554302B41AC97897AFC493",1)</f>
        <v>=DISPIMG("ID_CB8E0BBDDD554302B41AC97897AFC493",1)</v>
      </c>
      <c r="G8" s="5">
        <v>6</v>
      </c>
      <c r="H8" s="5">
        <v>6</v>
      </c>
      <c r="I8" s="7" t="s">
        <v>18</v>
      </c>
    </row>
    <row r="9" ht="81" spans="1:9">
      <c r="A9" s="3" t="s">
        <v>9</v>
      </c>
      <c r="D9" s="3" t="s">
        <v>11</v>
      </c>
      <c r="E9" s="5">
        <v>5</v>
      </c>
      <c r="F9" s="8" t="str">
        <f>_xlfn.DISPIMG("ID_6536520A35D44CD982CC03D2A3EC0CCA",1)</f>
        <v>=DISPIMG("ID_6536520A35D44CD982CC03D2A3EC0CCA",1)</v>
      </c>
      <c r="G9" s="5">
        <v>6</v>
      </c>
      <c r="H9" s="5">
        <v>6</v>
      </c>
      <c r="I9" s="7" t="s">
        <v>19</v>
      </c>
    </row>
    <row r="10" ht="81" spans="1:9">
      <c r="A10" s="3" t="s">
        <v>9</v>
      </c>
      <c r="D10" s="3" t="s">
        <v>11</v>
      </c>
      <c r="E10" s="5">
        <v>5</v>
      </c>
      <c r="F10" s="8" t="str">
        <f>_xlfn.DISPIMG("ID_6E8C1BF16B5649628541ACB08E647571",1)</f>
        <v>=DISPIMG("ID_6E8C1BF16B5649628541ACB08E647571",1)</v>
      </c>
      <c r="G10" s="5">
        <v>6</v>
      </c>
      <c r="H10" s="5">
        <v>6</v>
      </c>
      <c r="I10" s="7" t="s">
        <v>20</v>
      </c>
    </row>
    <row r="11" ht="81" spans="1:9">
      <c r="A11" s="3" t="s">
        <v>9</v>
      </c>
      <c r="D11" s="3" t="s">
        <v>11</v>
      </c>
      <c r="E11" s="5">
        <v>5</v>
      </c>
      <c r="F11" s="8" t="str">
        <f>_xlfn.DISPIMG("ID_5245208E36DC4B76BE8FB65662C76DE3",1)</f>
        <v>=DISPIMG("ID_5245208E36DC4B76BE8FB65662C76DE3",1)</v>
      </c>
      <c r="G11" s="5">
        <v>6</v>
      </c>
      <c r="H11" s="5">
        <v>6</v>
      </c>
      <c r="I11" s="7" t="s">
        <v>21</v>
      </c>
    </row>
    <row r="12" ht="81" spans="1:9">
      <c r="A12" s="3" t="s">
        <v>9</v>
      </c>
      <c r="D12" s="3" t="s">
        <v>11</v>
      </c>
      <c r="E12" s="5">
        <v>5</v>
      </c>
      <c r="F12" s="8" t="str">
        <f>_xlfn.DISPIMG("ID_38B52174CFD948A5A3AB36FB32DF2390",1)</f>
        <v>=DISPIMG("ID_38B52174CFD948A5A3AB36FB32DF2390",1)</v>
      </c>
      <c r="G12" s="5">
        <v>6</v>
      </c>
      <c r="H12" s="5">
        <v>6</v>
      </c>
      <c r="I12" s="7" t="s">
        <v>22</v>
      </c>
    </row>
    <row r="13" ht="81" spans="1:9">
      <c r="A13" s="3" t="s">
        <v>9</v>
      </c>
      <c r="D13" s="3" t="s">
        <v>11</v>
      </c>
      <c r="E13" s="5">
        <v>5</v>
      </c>
      <c r="F13" s="8" t="str">
        <f>_xlfn.DISPIMG("ID_350F334A1A3A413BA0F8587CD845E973",1)</f>
        <v>=DISPIMG("ID_350F334A1A3A413BA0F8587CD845E973",1)</v>
      </c>
      <c r="G13" s="5">
        <v>6</v>
      </c>
      <c r="H13" s="5">
        <v>6</v>
      </c>
      <c r="I13" s="7" t="s">
        <v>23</v>
      </c>
    </row>
    <row r="14" ht="81" spans="1:9">
      <c r="A14" s="3" t="s">
        <v>9</v>
      </c>
      <c r="D14" s="3" t="s">
        <v>11</v>
      </c>
      <c r="E14" s="5">
        <v>5</v>
      </c>
      <c r="F14" s="8" t="str">
        <f>_xlfn.DISPIMG("ID_F876FC7DAC6040EFA2E5F161D4ECDCB3",1)</f>
        <v>=DISPIMG("ID_F876FC7DAC6040EFA2E5F161D4ECDCB3",1)</v>
      </c>
      <c r="G14" s="5">
        <v>6</v>
      </c>
      <c r="H14" s="5">
        <v>6</v>
      </c>
      <c r="I14" s="7" t="s">
        <v>24</v>
      </c>
    </row>
    <row r="15" ht="81" spans="1:9">
      <c r="A15" s="3" t="s">
        <v>9</v>
      </c>
      <c r="D15" s="3" t="s">
        <v>11</v>
      </c>
      <c r="E15" s="5">
        <v>5</v>
      </c>
      <c r="F15" s="8" t="str">
        <f>_xlfn.DISPIMG("ID_7F7299F4D78A487C91C3AA23B86CD5A1",1)</f>
        <v>=DISPIMG("ID_7F7299F4D78A487C91C3AA23B86CD5A1",1)</v>
      </c>
      <c r="G15" s="5">
        <v>6</v>
      </c>
      <c r="H15" s="5">
        <v>6</v>
      </c>
      <c r="I15" s="7" t="s">
        <v>25</v>
      </c>
    </row>
    <row r="16" ht="81" spans="1:9">
      <c r="A16" s="3" t="s">
        <v>9</v>
      </c>
      <c r="D16" s="3" t="s">
        <v>11</v>
      </c>
      <c r="E16" s="5">
        <v>5</v>
      </c>
      <c r="F16" s="8" t="str">
        <f>_xlfn.DISPIMG("ID_AB18274810F447DBA029558A959E9637",1)</f>
        <v>=DISPIMG("ID_AB18274810F447DBA029558A959E9637",1)</v>
      </c>
      <c r="G16" s="5">
        <v>6</v>
      </c>
      <c r="H16" s="5">
        <v>6</v>
      </c>
      <c r="I16" s="7" t="s">
        <v>26</v>
      </c>
    </row>
    <row r="17" ht="81" spans="1:9">
      <c r="A17" s="3" t="s">
        <v>9</v>
      </c>
      <c r="D17" s="3" t="s">
        <v>11</v>
      </c>
      <c r="E17" s="5">
        <v>5</v>
      </c>
      <c r="F17" s="8" t="str">
        <f>_xlfn.DISPIMG("ID_B119EDF839804F298A0A4D1A5E136BA7",1)</f>
        <v>=DISPIMG("ID_B119EDF839804F298A0A4D1A5E136BA7",1)</v>
      </c>
      <c r="G17" s="5">
        <v>6</v>
      </c>
      <c r="H17" s="5">
        <v>6</v>
      </c>
      <c r="I17" s="7" t="s">
        <v>27</v>
      </c>
    </row>
    <row r="18" ht="81" spans="1:9">
      <c r="A18" s="3" t="s">
        <v>9</v>
      </c>
      <c r="D18" s="3" t="s">
        <v>11</v>
      </c>
      <c r="E18" s="5">
        <v>5</v>
      </c>
      <c r="F18" s="8" t="str">
        <f>_xlfn.DISPIMG("ID_5EFA7AFFC34E4FBE828FE90B9CB1363B",1)</f>
        <v>=DISPIMG("ID_5EFA7AFFC34E4FBE828FE90B9CB1363B",1)</v>
      </c>
      <c r="G18" s="5">
        <v>6</v>
      </c>
      <c r="H18" s="5">
        <v>6</v>
      </c>
      <c r="I18" s="7" t="s">
        <v>28</v>
      </c>
    </row>
    <row r="19" ht="81" spans="1:9">
      <c r="A19" s="3" t="s">
        <v>9</v>
      </c>
      <c r="D19" s="3" t="s">
        <v>11</v>
      </c>
      <c r="E19" s="5">
        <v>5</v>
      </c>
      <c r="F19" s="8" t="str">
        <f>_xlfn.DISPIMG("ID_EC39BA1DEC6342DFAABA95A8A1445520",1)</f>
        <v>=DISPIMG("ID_EC39BA1DEC6342DFAABA95A8A1445520",1)</v>
      </c>
      <c r="G19" s="5">
        <v>6</v>
      </c>
      <c r="H19" s="5">
        <v>6</v>
      </c>
      <c r="I19" s="7" t="s">
        <v>29</v>
      </c>
    </row>
    <row r="20" ht="81" spans="1:9">
      <c r="A20" s="3" t="s">
        <v>9</v>
      </c>
      <c r="D20" s="3" t="s">
        <v>11</v>
      </c>
      <c r="E20" s="5">
        <v>5</v>
      </c>
      <c r="F20" s="8" t="str">
        <f>_xlfn.DISPIMG("ID_1CCACD61013B4632B7B5A90A98316768",1)</f>
        <v>=DISPIMG("ID_1CCACD61013B4632B7B5A90A98316768",1)</v>
      </c>
      <c r="G20" s="5">
        <v>6</v>
      </c>
      <c r="H20" s="5">
        <v>6</v>
      </c>
      <c r="I20" s="7" t="s">
        <v>30</v>
      </c>
    </row>
    <row r="21" ht="81" spans="1:9">
      <c r="A21" s="3" t="s">
        <v>9</v>
      </c>
      <c r="D21" s="3" t="s">
        <v>11</v>
      </c>
      <c r="E21" s="5">
        <v>5</v>
      </c>
      <c r="F21" s="8" t="str">
        <f>_xlfn.DISPIMG("ID_6B6CB0AE126149DC83F85A62DDEDCC57",1)</f>
        <v>=DISPIMG("ID_6B6CB0AE126149DC83F85A62DDEDCC57",1)</v>
      </c>
      <c r="G21" s="5">
        <v>6</v>
      </c>
      <c r="H21" s="5">
        <v>6</v>
      </c>
      <c r="I21" s="7" t="s">
        <v>31</v>
      </c>
    </row>
    <row r="22" ht="81" spans="1:9">
      <c r="A22" s="3" t="s">
        <v>9</v>
      </c>
      <c r="D22" s="3" t="s">
        <v>11</v>
      </c>
      <c r="E22" s="5">
        <v>5</v>
      </c>
      <c r="F22" s="8" t="str">
        <f>_xlfn.DISPIMG("ID_3C8C47756A194D459A390E773163B38B",1)</f>
        <v>=DISPIMG("ID_3C8C47756A194D459A390E773163B38B",1)</v>
      </c>
      <c r="G22" s="5">
        <v>6</v>
      </c>
      <c r="H22" s="5">
        <v>6</v>
      </c>
      <c r="I22" s="7" t="s">
        <v>32</v>
      </c>
    </row>
    <row r="23" ht="81" spans="1:9">
      <c r="A23" s="3" t="s">
        <v>9</v>
      </c>
      <c r="D23" s="3" t="s">
        <v>11</v>
      </c>
      <c r="E23" s="5">
        <v>5</v>
      </c>
      <c r="F23" s="8" t="str">
        <f>_xlfn.DISPIMG("ID_F1FBC0E4A5F34397B8C690D907BC9125",1)</f>
        <v>=DISPIMG("ID_F1FBC0E4A5F34397B8C690D907BC9125",1)</v>
      </c>
      <c r="G23" s="5">
        <v>6</v>
      </c>
      <c r="H23" s="5">
        <v>6</v>
      </c>
      <c r="I23" s="7" t="s">
        <v>33</v>
      </c>
    </row>
    <row r="24" ht="81" spans="1:9">
      <c r="A24" s="3" t="s">
        <v>9</v>
      </c>
      <c r="D24" s="3" t="s">
        <v>11</v>
      </c>
      <c r="E24" s="5">
        <v>5</v>
      </c>
      <c r="F24" s="8" t="str">
        <f>_xlfn.DISPIMG("ID_34A4D5A04ECF4CBC93B8D76F98622262",1)</f>
        <v>=DISPIMG("ID_34A4D5A04ECF4CBC93B8D76F98622262",1)</v>
      </c>
      <c r="G24" s="5">
        <v>6</v>
      </c>
      <c r="H24" s="5">
        <v>6</v>
      </c>
      <c r="I24" s="7" t="s">
        <v>34</v>
      </c>
    </row>
    <row r="25" ht="81" spans="1:9">
      <c r="A25" s="3" t="s">
        <v>9</v>
      </c>
      <c r="D25" s="3" t="s">
        <v>11</v>
      </c>
      <c r="E25" s="5">
        <v>5</v>
      </c>
      <c r="F25" s="8" t="str">
        <f>_xlfn.DISPIMG("ID_6924F5A833A44F308D80C2FB27F01C6D",1)</f>
        <v>=DISPIMG("ID_6924F5A833A44F308D80C2FB27F01C6D",1)</v>
      </c>
      <c r="G25" s="5">
        <v>6</v>
      </c>
      <c r="H25" s="5">
        <v>6</v>
      </c>
      <c r="I25" s="7" t="s">
        <v>35</v>
      </c>
    </row>
    <row r="26" ht="81" spans="1:9">
      <c r="A26" s="3" t="s">
        <v>9</v>
      </c>
      <c r="D26" s="3" t="s">
        <v>11</v>
      </c>
      <c r="E26" s="5">
        <v>5</v>
      </c>
      <c r="F26" s="8" t="str">
        <f>_xlfn.DISPIMG("ID_9425F8D5AD904533A4462EB985A4BEE8",1)</f>
        <v>=DISPIMG("ID_9425F8D5AD904533A4462EB985A4BEE8",1)</v>
      </c>
      <c r="G26" s="5">
        <v>6</v>
      </c>
      <c r="H26" s="5">
        <v>6</v>
      </c>
      <c r="I26" s="7" t="s">
        <v>36</v>
      </c>
    </row>
    <row r="27" ht="81" spans="1:9">
      <c r="A27" s="3" t="s">
        <v>9</v>
      </c>
      <c r="D27" s="3" t="s">
        <v>11</v>
      </c>
      <c r="E27" s="5">
        <v>5</v>
      </c>
      <c r="F27" s="8" t="str">
        <f>_xlfn.DISPIMG("ID_33F95A27DC284174994CD6AA24C0B413",1)</f>
        <v>=DISPIMG("ID_33F95A27DC284174994CD6AA24C0B413",1)</v>
      </c>
      <c r="G27" s="5">
        <v>6</v>
      </c>
      <c r="H27" s="5">
        <v>6</v>
      </c>
      <c r="I27" s="7" t="s">
        <v>37</v>
      </c>
    </row>
    <row r="28" ht="81" spans="1:9">
      <c r="A28" s="3" t="s">
        <v>9</v>
      </c>
      <c r="D28" s="3" t="s">
        <v>11</v>
      </c>
      <c r="E28" s="5">
        <v>5</v>
      </c>
      <c r="F28" s="8" t="str">
        <f>_xlfn.DISPIMG("ID_6A778FC65300472DB5E06C88165E64FC",1)</f>
        <v>=DISPIMG("ID_6A778FC65300472DB5E06C88165E64FC",1)</v>
      </c>
      <c r="G28" s="5">
        <v>6</v>
      </c>
      <c r="H28" s="5">
        <v>6</v>
      </c>
      <c r="I28" s="7" t="s">
        <v>38</v>
      </c>
    </row>
    <row r="29" ht="81" spans="1:9">
      <c r="A29" s="3" t="s">
        <v>9</v>
      </c>
      <c r="D29" s="3" t="s">
        <v>11</v>
      </c>
      <c r="E29" s="5">
        <v>5</v>
      </c>
      <c r="F29" s="8" t="str">
        <f>_xlfn.DISPIMG("ID_6E914A58AD1D4852BC7108AE66D94383",1)</f>
        <v>=DISPIMG("ID_6E914A58AD1D4852BC7108AE66D94383",1)</v>
      </c>
      <c r="G29" s="5">
        <v>6</v>
      </c>
      <c r="H29" s="5">
        <v>6</v>
      </c>
      <c r="I29" s="7" t="s">
        <v>39</v>
      </c>
    </row>
    <row r="30" ht="81" spans="1:9">
      <c r="A30" s="3" t="s">
        <v>9</v>
      </c>
      <c r="D30" s="3" t="s">
        <v>11</v>
      </c>
      <c r="E30" s="5">
        <v>5</v>
      </c>
      <c r="F30" s="8" t="str">
        <f>_xlfn.DISPIMG("ID_63C3E2986F174496B2B6DF0D5BB89BAE",1)</f>
        <v>=DISPIMG("ID_63C3E2986F174496B2B6DF0D5BB89BAE",1)</v>
      </c>
      <c r="G30" s="5">
        <v>6</v>
      </c>
      <c r="H30" s="5">
        <v>6</v>
      </c>
      <c r="I30" s="7" t="s">
        <v>40</v>
      </c>
    </row>
    <row r="31" ht="81" spans="1:9">
      <c r="A31" s="3" t="s">
        <v>9</v>
      </c>
      <c r="D31" s="3" t="s">
        <v>11</v>
      </c>
      <c r="E31" s="5">
        <v>5</v>
      </c>
      <c r="F31" s="8" t="str">
        <f>_xlfn.DISPIMG("ID_6333CDC5432A4248B88E11AC17A1CC5B",1)</f>
        <v>=DISPIMG("ID_6333CDC5432A4248B88E11AC17A1CC5B",1)</v>
      </c>
      <c r="G31" s="5">
        <v>6</v>
      </c>
      <c r="H31" s="5">
        <v>6</v>
      </c>
      <c r="I31" s="7" t="s">
        <v>41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7-9六宫不规则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SY三生石畔</cp:lastModifiedBy>
  <dcterms:created xsi:type="dcterms:W3CDTF">2026-04-02T01:29:34Z</dcterms:created>
  <dcterms:modified xsi:type="dcterms:W3CDTF">2026-04-02T01:29:34Z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660D825CFA2F4C66A886ED72851AE1CD_11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