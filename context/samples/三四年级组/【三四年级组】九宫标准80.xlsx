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7-9九宫标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99" name="ID_BC895E977F774D179A4728C7DFE14C8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39510" y="128778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4" name="ID_DFA929D5DD4442BBAFD68DA01A036A4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268720" y="1890395"/>
          <a:ext cx="1852930" cy="1811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27EE7F3287A440B88425120ACCC6FB0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236970" y="149225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5" name="ID_9E018222EE544B48B6F7CDDF4FE1AE9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284595" y="3736975"/>
          <a:ext cx="1813560" cy="1778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2F3EB11A2A86466DB27899DE9A2B7AE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236970" y="93218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3" name="ID_14541724EFF64EC4A2D530214F46DE0C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236970" y="7454900"/>
          <a:ext cx="2047240" cy="200850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0" name="ID_9D611FFBC8E243DABA374047BE42F01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629275" y="2489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0" name="ID_C0C5175B46D540D1860FEB01B409870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629275" y="774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8" name="ID_E6A9BEB65F7D4BACBFFAF1929B1AAB1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239510" y="315468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7" name="ID_B9CAF67FDB2A4D458E0B17DB8AB826CB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284595" y="5588000"/>
          <a:ext cx="1852930" cy="18173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9" name="ID_B0ECAE5863FD49D791EEB2AB4027EC7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239510" y="334137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DE639A705A0A4A6998A22A542A72412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236970" y="111887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5" name="ID_52545B9FB04D4BA790642982881BCA3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8936990" y="9144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E7631F12C9464C49913AEA936CBE829B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236970" y="130556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70C1F81BA39A410DA48EA9228E2387B7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239510" y="35433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3" name="ID_9C909CF5331144038C12D98B50F52AF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936990" y="222123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4F29BB47740E495FB775B367C915F4C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236970" y="167894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9" name="ID_BC22BD11753941DA859DAF7A6EE9326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629275" y="393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EF5F42919C4B4A7895C22D7FDBC3A7D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236970" y="186563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0" name="ID_942477A3F17A485793A5A4DE5329DAB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239510" y="352806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AD1A8454A16C40D4B3944B0B5A2D414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236970" y="205232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D6A15BFB2B8F485BBA695A847C6F322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236970" y="223901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C54A75FD86AD40CEB35A035120A79DCB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236970" y="2425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39C387CDA57D4191AC7CBC4BE69B4E60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239510" y="9144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1DE05B7C846B469499BED3AC8D8AD6D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236970" y="261239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9" name="ID_52A3FC73D99B4B69916BE3A3D616724A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5629275" y="2298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6" name="ID_0791D96E5A9C47E9800D66B0CB59707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936990" y="27813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836047E615DC480297C05507F0E49A2A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236970" y="279908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002610F145234B55889E5847259E8A1A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236970" y="298577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2" name="ID_49E914F85A31443AB87DE6D5DA3D174E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236970" y="317246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367613E6ADAF436B8071175783077EF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236970" y="335915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76" name="ID_45D3ED18E1EC41FA97941400775C85E3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236970" y="354584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1" name="ID_55A916DEF3CF40AB89BC956DD7C93E9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239510" y="371475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849DFDB3485445FF84CB0A7036683EB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239510" y="16764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7235CDB9FF0A4FC987754B1D1807E233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236970" y="373253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5366A092BC604811BBB4BDBFF4FADA6C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239510" y="54102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2" name="ID_4C3B731202EF4918961B23DC6588B0BA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8936990" y="203454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3" name="ID_C866403166A644429C0F10B1BA02619A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8936990" y="16764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3CB728AB6C14443B837EC489C15CCA8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239510" y="72771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E57AD237922148198767E53900D08D94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6239510" y="110109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0" name="ID_1500184D7137434B87FD7EE000097B46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8936990" y="166116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4" name="ID_5CC69878F8D94CD28989FAD69BE75829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8936990" y="240792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98" name="ID_E663AEF8641C434E87FB8A8646F1F660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6239510" y="147447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0" name="ID_169EB192236C49B0AC2502A935AA35E9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8936990" y="352806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6" name="ID_23C70006EC6E46A7B0C81E1DB75BBAF6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8936990" y="72771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0" name="ID_D049DCDF494B4055AFC59EBAC68049CF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6239510" y="166116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1" name="ID_80FCB43510F648B28FA08B115C07792A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8936990" y="371475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3" name="ID_C8A800BA68F5466494A27429498F8E6A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629275" y="1155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1" name="ID_16848F26248C4C9383B42D0FC0549910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6239510" y="184785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2" name="ID_0EE9007895FC416B9F7752C1DC9DE2D6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6239510" y="203454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4" name="ID_6576BE5D7114487597F6CD378F37F53A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5629275" y="1536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3" name="ID_3278EF5C85704E8E9B6DB1FD16AEBD82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6239510" y="222123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4" name="ID_5655BF3F6240422CB43B6EC266F8C8C1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6239510" y="240792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5" name="ID_B2CE6746992A4AE38FC329DEB0E898CE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6239510" y="259461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6" name="ID_40669A2AF9AE4D11BB2CBA2155C9605B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6239510" y="27813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7" name="ID_F7FBF85623484DC5973552B08662DEF8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6239510" y="296799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7" name="ID_1B5EAFA19A814D538CC149CEB0DFE8C6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5629275" y="1917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9" name="ID_B349A0CE410040609F599EA33EA2D849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8936990" y="147447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2" name="ID_DB5650708F0A4000A7DBA788FBC95A24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8936990" y="35433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8" name="ID_62FDD7C69E614090B3E18D4E1F668065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5629275" y="203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4" name="ID_0DCA8819A89042ABAFFF3A8E4FD647B2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8936990" y="54102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7" name="ID_0ACB74E728024302A90B6EBA4FB554E4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8936990" y="110109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18" name="ID_EF97D1A6A7C84889A8A4FFF257C77F3B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8936990" y="128778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5" name="ID_2502377B8E6347779B67D9C55F68663B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8936990" y="259461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1" name="ID_C57D889E5A724BD1AF7E8E3449E95A61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8936990" y="184785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7" name="ID_04F1BC0C0F8D41309C0C62AEA5B71EEB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8936990" y="296799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8" name="ID_9276390247DE4FA698800BCE767F7BFC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8936990" y="315468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9" name="ID_3C348BB5B4F34C6B82DEB836FFD57B1C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8936990" y="334137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1" name="ID_FFD8C96BBE35412DBCBFB49F0119DFE8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5629275" y="584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2" name="ID_D78649DBE449481886237210F840B3A2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5629275" y="965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5" name="ID_D5E5BD694FAB42E28A28A1A43F667DE0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5629275" y="1346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6" name="ID_57DB944B0E0F4F0A9298FD0724A2F8C3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5629275" y="1727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8" name="ID_F2E5477BA2B7496BA91E619A5DCD5EA4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5629275" y="2108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1" name="ID_AAF7C47FB5244E5DB9FF249EDF0EAF19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5629275" y="2679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2" name="ID_0319E874DFAE4C4C93A2E0CEE15F6289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5629275" y="2870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3" name="ID_762F00637C144201BF504F14CA047FBE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5629275" y="3060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4" name="ID_6D327794475B4EC6924E701C855B471A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5629275" y="3251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5" name="ID_E4EF1574570F469587D681F6BDFCC0C8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5629275" y="3441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6" name="ID_00BAD0D13A92408C8D77D346C0FE4957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5629275" y="36322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7" name="ID_CF8B6682B2D048878FAECECBC8F4F7A0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5629275" y="38227000"/>
          <a:ext cx="3943350" cy="38671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<sst xmlns="http://schemas.openxmlformats.org/spreadsheetml/2006/main" count="250" uniqueCount="92">
  <si>
    <t>题目</t>
  </si>
  <si>
    <t>题目配图</t>
  </si>
  <si>
    <t>题目音频</t>
  </si>
  <si>
    <t>*类目</t>
  </si>
  <si>
    <t>*分数</t>
  </si>
  <si>
    <t>*数独底图</t>
  </si>
  <si>
    <t>*水平长度</t>
  </si>
  <si>
    <t>*垂直长度</t>
  </si>
  <si>
    <t>*正确答案</t>
  </si>
  <si>
    <r>
      <rPr>
        <sz val="12"/>
        <color theme="1"/>
        <rFont val="宋体"/>
        <charset val="134"/>
      </rPr>
      <t xml:space="preserve">将数字 </t>
    </r>
    <r>
      <rPr>
        <sz val="12"/>
        <color theme="1"/>
        <rFont val="Calibri"/>
        <charset val="134"/>
      </rPr>
      <t>1-9</t>
    </r>
    <r>
      <rPr>
        <sz val="12"/>
        <color theme="1"/>
        <rFont val="宋体"/>
        <charset val="134"/>
      </rPr>
      <t>填入空格内，使每行、每列及每宫内数字均不重复。</t>
    </r>
  </si>
  <si>
    <t/>
  </si>
  <si>
    <t>九宫标准数独</t>
  </si>
  <si>
    <t>[5,,,3,,8,2,,7],
[1,3,,9,7,2,,4,],
[8,,,,6,,,,3],
[,6,,,2,,7,,9],
[3,2,,,,,,1,4],
[9,,5,,4,,,8,],
[7,,,,9,,,,1],
[,4,,5,8,7,,3,6],
[6,,9,2,,1,,,8],</t>
  </si>
  <si>
    <t>[,,,,,3,8,,5],
[,8,,4,,,3,,7],
[2,,,,,7,,9,],
[5,,2,,6,8,9,3,4],
[,9,7,1,,5,6,8,],
[6,4,8,9,3,,7,,1],
[,2,,3,,,,,9],
[9,,3,,,1,,7,],
[4,,6,8,,,,,],</t>
  </si>
  <si>
    <t>[,5,7,,,8,,6,],
[3,,6,5,,7,8,,],
[,,1,3,6,2,,,],
[,3,4,,8,9,6,,5],
[7,,,,,,,,8],
[5,,8,1,7,,9,2,],
[,,,8,9,1,2,,],
[,,9,7,,4,5,,1],
[,1,,6,,,7,4,],</t>
  </si>
  <si>
    <t>[,,1,,4,5,7,,8],
[,8,,,,,4,2,6],
[3,,,,6,2,,5,],
[,,9,2,,,8,6,3],
[,6,8,,,,5,4,],
[5,3,4,,,6,9,,],
[,5,,6,7,,,,1],
[8,1,2,,,,,7,],
[7,,6,4,2,,3,,]</t>
  </si>
  <si>
    <t>[1,,,6,5,,,,],
[,,2,,1,,6,,],
[5,,8,7,,9,,3,],
[9,5,,1,3,7,,,6],
[6,3,7,,,,9,1,5],
[8,,,9,6,5,,4,7],
[,1,,3,,6,4,,2],
[,,6,,8,,7,,],
[,,,,7,1,,,3],</t>
  </si>
  <si>
    <t>[3,,,2,5,1,8,6,],
[,1,5,4,8,,,,9],
[,8,,9,,6,,5,],
[,,9,6,,,,4,],
[8,,3,,,,6,,7],
[,7,,,,8,5,,],
[,4,,5,,2,,3,],
[9,,,,6,4,2,8,],
[,6,2,8,3,9,,,1],</t>
  </si>
  <si>
    <t xml:space="preserve">[9,4,7,,,,,,],
[,5,,6,4,,,1,],
[,6,2,7,5,3,8,4,9],
[,,6,9,7,,,3,],
[,,9,,,,2,,],
[,1,,,6,4,9,,],
[6,3,4,8,2,7,5,9,],
[,8,,,9,5,,6,],
[,,,,,,3,2,8],
</t>
  </si>
  <si>
    <t>[,,,,,,8,6,5],
[8,,,,9,,,3,7],
[,,2,7,5,8,1,,4],
[,2,3,,,,,8,6],
[9,6,,8,,5,,7,1],
[5,7,,,,,9,4,],
[4,,7,1,8,9,6,,],
[2,9,,,3,,,,8],
[3,8,6,,,,,,],</t>
  </si>
  <si>
    <t>[,2,,,1,,5,,],
[3,,5,,,6,,4,8],
[,,4,3,,,,,2],
[,5,9,,,2,4,3,7],
[2,,3,7,,8,9,,6],
[1,6,7,9,,,2,8,],
[5,,,,,9,6,,],
[7,9,,6,,,8,,1],
[,,6,,2,,,7,],</t>
  </si>
  <si>
    <t>[,4,,,3,8,,6,],
[,,6,,,,,,8],
[,1,3,2,4,,,7,],
[3,8,,6,1,,7,5,],
[1,7,,3,,4,,2,9],
[,6,2,,9,5,,8,3],
[,3,,,2,9,5,4,],
[2,,,,,,8,,],
[,9,,4,5,,,1,],</t>
  </si>
  <si>
    <t>[8,7,1,,4,,,,3],
[,,,3,5,,,,2],
[5,3,,1,9,,,4,],
[6,9,7,,,5,,3,],
[,2,8,,,,6,5,],
[,1,,4,,,2,7,8],
[,5,,,8,4,,2,7],
[2,,,,7,3,,,],
[7,,,,1,,9,8,5],</t>
  </si>
  <si>
    <t>[7,4,,,,,1,,6],
[1,2,,,,4,,,5],
[3,,,6,2,,,7,],
[,,,9,,7,6,4,8],
[8,3,,1,,2,,9,7],
[6,9,7,4,,8,,,],
[,7,,,4,6,,,3],
[5,,,2,,,,6,1],
[4,,2,,,,,8,9],</t>
  </si>
  <si>
    <t>[,,1,,,,,8,3],
[7,,,4,3,,9,5,],
[3，，，，，1，，4，]，
[,5,9,7,,8,1,,6],
[8,3,,1,,5,,9,2],
[2,,6,9,,3,8,7,],
[,7,,2,,,,,8],
[,2,3,,8,6,,,4],
[6,8,,,,,5,,],</t>
  </si>
  <si>
    <t>[,3,8,,1,4,,,],
[5,1,9,3,,,4,,8],
[,,,5,,,,9,],
[,5,7,8,,,2,,9],
[9,,6,1,,5,8,,3],
[8,,3,,,9,6,1,],
[,9,,,,7,,,],
[4,,2,,,1,9,3,7],
[,,,2,9,,5,6,],</t>
  </si>
  <si>
    <t>[,7,,,,1,,,],
[1,,6,5,7,4,3,,],
[2,,,3,,9,,1,],
[8,,,9,,6,,5,],
[7,3,5,4,,2,8,9,6],
[,6,,8,,7,,,1],
[,8,,1,,3,,,9],
[,,4,6,9,5,1,,8],
[,,,7,,,,4,]</t>
  </si>
  <si>
    <t>[,1,,,6,,,9,5],
[,,6,,,1,3,2,4],
[5,,,,9,,,,8],
[8,,,,4,5,1,7,9],
[1,5,,,,,,8,6],
[9,6,7,1,2,,,,3],
[3,,,,1,,,,7],
[6,2,9,4,,,8,,],
[4,7,,,8,,,3,],</t>
  </si>
  <si>
    <t>[,2,1,8,6,3,,,],
[6,,,,4,9,5,3,1],
[9,,,5,,7,,,8],
[,,5,,,4,8,,],
[,4,3,,,,9,2,],
[,,6,3,,,7,,],
[1,,,4,,8,,,5],
[3,8,2,9,5,,,,7],
[,,,7,3,1,6,8,]</t>
  </si>
  <si>
    <t>[,7,,1,8,,2,,3],
[,,,,6,3,,8,],
[8,6,,9,7,2,,4,],
[2,,,8,,,6,9,],
[9,5,,,,,,1,7],
[,4,1,,,9,,,5],
[,1,,6,4,7,,5,8],
[,8,,2,9,,,,],
[4,,6,,5,8,,7,],</t>
  </si>
  <si>
    <t>[,5,6,,,,,2,3],
[4,,,9,6,,1,,7],
[7,,,2,,4,9,,8],
[,,,1,7,8,,,],
[,2,8,6,,5,3,7,],
[,,,3,2,9,,,],
[2,,5,7,,6,,,4],
[8,,7,,9,1,,,5],
[3,4,,,,,7,9,]</t>
  </si>
  <si>
    <t>[,,,2,,3,,,9],
[2,,4,9,7,1,6,5,],
[,9,,6,,8,2,,4],
[,,3,,,,,,6],
[9,,7,4,,5,3,,1],
[5,,,,,,4,,],
[3,,9,5,,6,,4,],
[,8,2,3,9,4,7,,5],
[6,,,8,,7,,,],</t>
  </si>
  <si>
    <t>[4,2,,8,6,,,,7],
[,3,,,,7,6,,],
[6,,,3,5,2,1,4,8],
[9,,7,2,3,,,5,],
[,5,8,6,,4,7,9,],
[,6,,,7,9,8,,2],
[7,8,2,4,9,3,,,1],
[,,6,7,,,,8,],
[5,,,,8,6,,7,9],</t>
  </si>
  <si>
    <t>[,8,5,1,2,,,7,9],
[,,,5,,,2,,],
[3,,6,8,9,7,5,,4],
[1,,3,,7,5,9,6,],
[,6,,9,,8,,4,],
[,9,2,3,4,,1,,7],
[7,,9,4,5,2,8,,6],
[,,8,,,9,,,],
[2,3,,,8,1,7,9,],</t>
  </si>
  <si>
    <t xml:space="preserve">[,8,1,7,6,,,,4],
[,,,1,,8,,5,9],
[3,,6,,4,2,1,7,],
[9,,,8,,6,7,4,2],
[,,2,3,,7,5,,],
[7,6,8,4,,5,,,1],
[,7,4,9,5,,8,,3],
[6,3,,2,,4,,,],
[8,,,,7,3,4,2,],
</t>
  </si>
  <si>
    <t>[,6,2,,7,9,,8,4],
[4,,8,,1,6,9,7,],
[7,,1,4,,,,3,6],
[8,,7,5,,3,,,],
[6,,,9,,2,,,3],
[,,,7,,1,4,,8],
[9,8,,,,5,3,,7],
[,7,5,6,3,,8,,2],
[2,4,,8,9,,5,6,],</t>
  </si>
  <si>
    <t>[,9,,4,2,3,6,,1],
[4,3,6,,8,,,9,7],
[8,,2,7,,9,,,],
[5,,1,9,,2,,4,8],
[,8,,,,,,7,],
[3,2,,8,,4,9,,6],
[,,,6,,8,7,,9],
[1,4,,,9,,5,6,3],
[6,,9,5,3,1,,2,],</t>
  </si>
  <si>
    <t>[7,,3,6,8,9,,,],
[,9,,,1,,,8,3]，
[,4,8,5,7,,6,2,9],
[8,6,,3,5,,9,,],
[,,1,9,,2,8,,]，
[,,9,,4,8,,7,6]，
[5,1,7,,2,6,3,9,],
[9，8，，，3，，，4，],
[,,,8,9,1,5,,7]，</t>
  </si>
  <si>
    <t>[,9,4,8,6,,2,,],
[6,,,5,3,,8,,1],
[,8,3,,2,,,6,],
[9,6,,2,4,,3,1,],
[8,,1,9,,6,4,,5],
[,2,5,,8,3,,9,6],
[,1,,,9,,6,5,],
[3,,9,,5,8,,,2],
[,,6,,1,7,9,8,],</t>
  </si>
  <si>
    <t>[4,3,9,5,7,6,8,,],
[8,,,,3,2,,9,4],
[2，，1，，9，，，7，],
[,1,8,9,,,4,5,],
[3,,,7,,8,,,6],
[,5,6,,,1,3,8,],
[,8,,,2,,1,,5],
[5,9,,6,1,,,,8],
[,,3,4,8,5,7,6,9],</t>
  </si>
  <si>
    <t>[,,2,,7,6,9,3,5],
[,,,3,,2,1,6,4],
[5,,3,,4,,,8,],
[8,4,7,,9,5,3,,],
[6,,,7,,8,,,9],
[,,9,4,6,,8,5,7],
[,8,,,1,,5,,3],
[1,3,4,5,,7,,,],
[7,9,5,6,8,,4,,]</t>
  </si>
  <si>
    <t>[,3,7,,2,6,,8,1],
[2,,5,,1,8,7,4,],
[8,,,7,5,,,6,],
[4,5,,2,,,,,8],
[,1,8,6,,5,4,2,],
[7,,,,,1,,5,6]，
[,2,,,8,7,,,4],
[,8,4,9,3,,6,,5]，
[5,7,,1,6,,8,3,],</t>
  </si>
  <si>
    <t>[5,2,1,3,6,8,4,9,],
[9,,7,,,4,,8,5],
[8,6,,,7,,,,3],
[7,,5,,,2,,4,]，
[,4,8,6,,5,9,7,],
[，1，，4，，，8，，2],
[1，，，，4，，，6，8],
[3，8，，7，，，1，，4],
[,5,6,8,2,1,7,3,9],</t>
  </si>
  <si>
    <t>[1，8，9，5，6，4，，2，],
[3,,4,7,,,6,8,9],
[2,7,,,9,,,,],
[4，，5，6，，7，，，],
[7,9,2,8,,3,5,1,6]，
[,,,1,,9,4,,2],
[,,,,3,,,6,4],
[9，3，8，，，6，2，，1],
[,4,,2,8,5,3,9,7],</t>
  </si>
  <si>
    <t>[,8,5,,6,9,7,,2],
[6,,7,,,,,8,9],
[2,9,4,7,8,5,,6,3],
[,,,8,,1,6,,],
[1,6,,5,,4,,7,8],
[,,8,6,,3,,,]，
[9,5,,2,4,7,8,3,1],
[7,4,,,,,9,,6],
[8,,3,9,1,,4,5,],</t>
  </si>
  <si>
    <t>[5,9,6,3,,8,,,4],
[8,7,,5,4,9,6,,],
[,,1,,6,,8,9,],
[,5,9,,2,,,6,8],
[,4,7,9,,6,3,5,],
[6,1,,,3,,9,7,],
[,2,4,,9,,5,,],
[,,3,8,5,2,,4,7],
[1,,,6,,4,2,3,9],</t>
  </si>
  <si>
    <t>[4,7,,,3,9,5,,8],
[8,2,9,7,5,6,,3,],
[6,,3,4,,1,,,9],
[,9,,,6,,8,5,],
[,8,,3,,7,,9,],
[,1,4,,9,,,2,],
[9,,,8,,5,6,,7],
[,6,,9,4,2,3,1,5],
[1,,5,6,7,,,8,2],</t>
  </si>
  <si>
    <t>[4,8,9,2,1,,,3,],
[5,6,2,,,4,8,,9],
[,3,,,6,,,,2],
[2,,,3,5,,1,,8],
[8,9,3,4,,1,7,6,5],
[7,,5,,8,6,,,4],
[9,,,,7,,,4,],
[3,,1,5,,,9,8,6],
[,5,,,9,8,2,7,3],</t>
  </si>
  <si>
    <t>[7,,,9,,,,4,8],
[2,3,8,7,4,6,5,9,1],
[,1,9,,3,5,2,,],
[9,4,,,5,,,,2],
[,,3,1,,4,7,,],
[6,,,,9,,,5,3],
[,,6,3,7,,9,8,],
[3,9,4,5,1,8,6,2,7],
[8,7,,,,9,,,5],</t>
  </si>
  <si>
    <t>[,8,,1,6,,4,,7],
[,,1,4,,2,6,8,5],
[4,,,9,7,8,3,,],
[,3,9,6,,,2,,1],
[1,,4,5,,7,8,,6],
[6,,8,,,3,9,5,],
[,,3,7,5,9,,,8],
[9,6,7,8,,1,5,,],
[8,,5,,2,6,,4,],</t>
  </si>
  <si>
    <t>[1,,2,9,8,,,6,],
[,,6,1,5,,8,,7],
[8,9,,,,6,,5,2],
[7,,8,2,,9,,3,1],
[,1,4,6,,5,2,8,],
[9,2,,8,,3,6,,4],
[6,8,,7,,,,4,5],
[2,,3,,9,8,7,,],
[,7,,,6,4,9,,8],</t>
  </si>
  <si>
    <t>[2,,4,,7,8,,9,3],
[,9,7,5,6,,1,,8],
[1,,5,3,,,6,7,],
[,,3,6,4,,,2,1],
[6,,,2,,3,,,7],
[7,2,,,5,1,4,,],
[,7,6,,,5,2,,9],
[5,,9,,2,6,3,8,],
[4,3,,8,1,,7,,5],</t>
  </si>
  <si>
    <t>[6,2,,9,8,3,7,1,5],
[7,9,,,,2,3,4,],
[5,3,8,,1,,6,,],
[4,7,5,2,,,1,,],
[8,,2,3,4,1,9,,7],
[,,3,,,8,2,6,4],
[,,6,,2,,8,9,1],
[,8,7,1,,,,3,6],
[1,4,9,8,3,6,,7,2],</t>
  </si>
  <si>
    <t>[1,,6,,3,8,9,5,],
[,8,5,1,2,9,,,4],
[2,9,3,4,,,1,7,],
[4,2,,5,7,3,8,1,],
[,5,,,8,,,2,],
[,1,8,2,4,6,,9,7],
[,7,4,,,2,3,8,9],
[9,,,8,5,4,7,6,],
[,6,1,3,9,,2,,5],</t>
  </si>
  <si>
    <t>[4,1,5,3,9,,6,,],
[9,7,6,,2,,3,4,],
[2,3,8,,,4,,7,],
[6,5,,4,7,9,,8,],
[,2,7,1,5,6,4,9,],
[,4,,2,3,8,,5,6],
[,9,,7,,,8,6,4],
[,6,4,,8,,5,1,7],
[,,1,,4,5,2,3,9]</t>
  </si>
  <si>
    <t>[4,3,2,,,8,7,,],
[9,1,,7,3,2,,6,5],
[6,5,7,,4,9,8,,],
[,4,6,,2,7,5,9,8],
[3,,,,8,,,,7],
[8,7,9,6,5,,1,2,],
[,,3,4,1,,9,7,6],
[7,6,,8,9,3,,5,1],
[,,1,2,,,3,8,4],</t>
  </si>
  <si>
    <t>[8,3,,,,4,7,5,],
[6,9,,8,3,,4,,],
[,2,7,6,,1,9,8,3],
[,8,9,,1,6,2,4,5],
[1,6,,,4,,,3,9],
[3,5,4,9,2,,6,7,],
[9,7,3,5,,2,1,6,],
[,,8,,6,3,,9,7],
[,1,6,4,,,,2,8],</t>
  </si>
  <si>
    <t>[,,4,7,8,,9,5,1],
[8,,5,1,,,3,6,],
[,9,,,5,6,2,7,8],
[3,2,6,,7,5,,1,],
[5,8,,3,1,4,,2,6],
[,4,,6,9,,8,3,5],
[9,5,7,2,6,,,4,],
[,3,2,,,1,5,,7],
[4,1,8,,3,7,6,,],</t>
  </si>
  <si>
    <t>[,,1,3,9,,2,7,],
[,2,3,7,8,6,,4,5],
[8,,7,2,,,9,,6],
[,3,,8,2,,4,1,7],
[,8,9,4,3,1,5,6,],
[4,1,2,,5,7,,9,],
[1,,5,,,8,3,,4],
[2,9,,5,6,3,7,8,],
[,7,8,,4,2,6,,],</t>
  </si>
  <si>
    <t>[,1,,8,5,,,7,9],
[,,8,7,4,,1,3,6],
[6,,7,9,,3,8,4,5],
[4,,3,6,8,,5,9,],
[,9,,5,7,4,,1,],
[,6,1,,2,9,7,,4],
[1,4,6,2,,8,9,,7],
[2,3,5,,9,7,4,,],
[7,8,,,6,5,,2,],</t>
  </si>
  <si>
    <t>[,,3,4,8,,6,7,2],
[,8,4,,1,,,5,9],
[9,,,5,6,3,1,8,4],
[,4,,1,,8,7,,5],
[1,9,,7,2,4,,3,6],
[7,,8,9,,6,,2,],
[3,7,1,6,9,2,,,8],
[4,5,,,7,,2,6,],
[8,6,2,,4,5,9,,],</t>
  </si>
  <si>
    <t>[9,,5,6,4,7,,8,3],
[,8,3,9,,,4,7,6],
[7,,,8,2,,5,,1],
[4,,,5,3,,9,,],
[3,7,6,4,1,9,8,2,5],
[,,9,,6,2,,,4],
[1,,7,,8,6,,,9],
[5,9,2,,,4,6,1,],
[6,3,,1,9,5,7,,2],</t>
  </si>
  <si>
    <t>[5,,,9,1,3,8,,7],
[,2,,,,5,4,9,1],
[1,8,,4,,2,6,,3],
[,1,,5,4,7,9,3,2],
[4,9,,,3,,,8,5],
[2,3,5,1,8,9,,6,],
[9,,4,6,,1,,7,8],
[8,7,2,3,,,,1,],
[3,,1,7,5,8,,,9],</t>
  </si>
  <si>
    <t>[1,,,8,3,,,5,7],
[,7,3,6,,5,2,1,8],
[8,,6,,,2,4,3,9],
[,6,8,5,2,1,7,,],
[,4,,9,8,3,,2,],
[,,9,7,4,6,3,8,],
[6,3,5,4,,,9,,2],
[9,1,4,2,,7,8,6,],
[2,8,,,6,9,,,5],</t>
  </si>
  <si>
    <t>[,8,,1,,,,3,4],
[9,7,1,,3,4,8,2,5],
[2,,,8,,9,7,,6],
[,9,,2,,6,3,8,],
[8,6,2,3,7,1,4,5,9],
[,4,3,5,,8,,7,],
[6,,8,9,,3,,,7],
[4,2,9,7,8,,1,6,3],
[3,1,,,,2,,9,],</t>
  </si>
  <si>
    <t>[3,2,9,,1,6,7,,],
[,4,,,8,2,,,6],
[,7,8,3,5,9,1,2,4],
[7,,6,,3,,,1,2],
[9,5,,8,2,1,,4,7],
[4,1,,,7,,8,,9],
[1,6,5,2,9,7,4,8,],
[8,,,5,4,,,6,],
[,,4,1,6,,9,7,5],</t>
  </si>
  <si>
    <t>[,4,,,,7,,8,2],
[2,,,4,8,9,1,6,7],
[8,7,,2,5,,9,,3],
[,9,7,,1,2,,3,6],
[1,8,4,,3,,7,2,9],
[3,6,,9,7,,8,5,],
[4,,9,,2,6,,7,8],
[7,2,8,1,4,3,,,5],
[6,5,,7,,,,1,],</t>
  </si>
  <si>
    <t>[7,,4,3,,,,6,5],
[9,,1,,6,2,4,,3],
[8,6,3,1,5,4,9,,],
[,8,,6,,3,7,9,4],
[3,,,9,4,1,,,8],
[4,9,2,8,,5,,1,],
[,,9,4,3,8,5,2,7],
[5,,8,2,9,,6,,1],
[2,4,,,,6,8,,9]</t>
  </si>
  <si>
    <t>[9,8,3,,,2,4,,1],
[7,,,9,1,6,3,,],
[,6,,4,8,3,9,7,],
[,9,8,,7,5,2,4,6],
[5,,6,,3,,8,,7],
[4,7,2,8,6,,1,5,],
[,3,4,5,9,7,,2,],
[,,9,3,2,8,,,4],
[8,,7,6,,,5,3,9]</t>
  </si>
  <si>
    <t>[,1,7,6,2,,,4,3],
[3,,2,,5,9,6,,],
[8,,6,3,,1,,7,9],
[,7,,4,,6,3,8,5],
[,6,3,5,8,2,1,9,],
[1,8,5,9,,7,,2,],
[6,9,,2,,3,8,,4],
[,,8,1,9,,7,,2],
[7,2,,,6,5,9,3,]</t>
  </si>
  <si>
    <t>[4,7,9,2,,,8,3,5],
[8,6,,5,,4,,,7],
[,1,,8,7,9,6,2,4],
[,2,8,7,,6,5,,],
[5,3,,,1,,,7,8],
[,,7,3,,5,2,1,],
[2,8,4,9,5,7,,6,],
[6,,,1,,8,,5,2],
[7,5,1,,,3,4,8,9],</t>
  </si>
  <si>
    <t>[6,5,,1,,9,7,,],
[1,9,7,,,8,,3,6],
[4,,2,7,3,6,5,,],
[3,6,,4,7,,8,9,5],
[8,,9,,6,,1,,4],
[7,4,5,,8,1,,6,2],
[,,6,8,9,7,4,,3],
[9,3,,2,,,6,5,7],
[,,4,6,,3,,8,1],</t>
  </si>
  <si>
    <t>[6,7,3,,,8,5,9,2],
[,5,8,,2,,4,,6],
[,4,1,6,9,5,,3,8],
[,,5,9,4,6,,8,],
[4,,7,,8,,6,,9],
[,9,,2,7,1,3,,],
[1,8,,7,3,9,2,6,],
[7,,9,,5,,8,4,],
[5,3,2,8,,,9,7,1],</t>
  </si>
  <si>
    <t>[2,,,8,,,,9,4],
[3,1,7,,6,,2,8,5],
[8,4,,3,5,2,,6,],
[5,6,2,1,,,9,,7],
[,9,3,6,4,7,8,5,],
[4,,8,,,9,6,1,3],
[,3,,7,9,5,,2,8],
[9,8,5,,1,,4,7,6],
[7,2,,,,6,,,9],</t>
  </si>
  <si>
    <t>[,5,7,,4,9,,2,8],
[8,3,2,,6,5,,1,],
[,9,1,,,8,,,7],
[7,,9,,8,3,1,4,6],
[3,,6,4,9,2,7,,5],
[5,4,8,6,7,,2,,9],
[1,,,9,,,8,7,],
[,7,,8,1,,4,9,3],
[9,8,,3,2,,6,5,],</t>
  </si>
  <si>
    <t>[7,5,,,8,4,6,,9],
[1,,,,2,6,3,8,5],
[2,6,8,9,,,4,7,],
[3,,6,,5,9,7,1,],
[,,9,3,7,1,8,,],
[,1,7,2,6,,9,,4],
[,4,2,,,3,5,9,7],
[6,7,5,8,9,,,,3],
[9,,1,5,4,,,6,8],</t>
  </si>
  <si>
    <t>[5,1,,4,,9,6,,7],
[,3,2,,7,,5,9,],
[7,4,9,,6,3,8,,],
[9,7,,6,3,,2,5,],
[,8,5,1,9,2,4,7,],
[,6,1,,4,5,,8,3],
[,,7,2,8,,3,6,9],
[,9,6,,5,,1,2,],
[8,,3,9,,6,,4,5],</t>
  </si>
  <si>
    <t>[,,,,7,9,1,5,2],
[,,2,4,6,,9,8,],
[5,9,8,1,,3,6,,7],
[2,8,,3,4,,7,,9],
[9,6,,7,8,2,,3,5],
[7,,4,,9,6,,1,8],
[3,,9,6,,8,5,7,4],
[,5,6,,3,7,8,,],
[8,1,7,2,5,,,,],</t>
  </si>
  <si>
    <t>[9,8,4,,7,3,5,,2],
[3,1,,,,,9,7,8],
[2,,,9,5,8,4,,],
[5,3,8,7,2,1,,,9],
[,9,,8,4,5,,2,],
[4,,,3,9,6,8,5,7],
[,,3,6,8,7,,,5],
[8,6,2,,,,,1,4],
[7,,9,2,1,,3,8,6],</t>
  </si>
  <si>
    <t>[9,,4,,,7,,1,3],
[5,7,,9,4,3,,8,2],
[2,,6,1,,5,7,4,],
[6,4,,,7,8,9,,1],
[,5,9,,3,,2,6,],
[3,,8,2,9,,,5,7],
[,6,7,8,,9,3,,5],
[8,9,,3,6,2,,7,4],
[1,2,,7,,,8,,6],</t>
  </si>
  <si>
    <t>[1,4,,8,,5,9,7,],
[6,5,9,,3,7,8,,],
[7,,2,9,4,,5,3,],
[,,5,6,9,1,2,,7],
[9,2,,,5,,,6,8],
[4,,6,7,8,2,3,,],
[,7,1,,6,8,4,,9],
[,,8,5,7,,6,1,3],
[,6,4,3,,9,,8,2],</t>
  </si>
  <si>
    <t>[8,4,6,,3,9,7,1,5],
[,2,7,5,8,,,,9],
[,,9,7,6,,2,8,],
[6,3,4,9,,8,,2,],
[9,8,,,7,,,5,4],
[,7,,1,,6,3,9,8],
[,6,5,,2,7,9,,],
[7,,,,1,3,5,4,],
[2,1,3,4,9,,8,7,6],</t>
  </si>
  <si>
    <t>[9,,,5,6,4,3,7,8],
[6,3,4,7,2,,,,9],
[5,7,8,,1,,6,,],
[3,,9,1,,5,7,,6],
[,5,2,,7,,9,8,],
[8,,7,9,,2,4,,5],
[,,3,,5,,8,6,7],
[7,,,,4,3,2,9,1],
[2,1,6,8,9,7,,,4],</t>
  </si>
  <si>
    <t>[6,2,3,4,,,,5,],
[1,8,,9,6,3,4,7,],
[9,7,4,,5,8,6,,],
[,,9,7,,2,5,8,6],
[8,,2,,9,,3,,7],
[7,5,6,8,,4,9,,],
[,,7,5,2,,1,9,8],
[,6,8,1,4,9,,3,5],
[,9,,,,7,2,6,4],</t>
  </si>
  <si>
    <t>[7,,,1,4,3,,,9],
[4,1,8,,,5,2,7,],
[9,,6,8,2,7,4,1,5],
[3,6,9,,7,,5,8,],
[,,,9,6,8,,,],
[,2,4,,3,,6,9,7],
[2,4,7,3,8,9,1,,6],
[,9,5,4,,,7,3,8],
[1,,,7,5,6,,,2],</t>
  </si>
  <si>
    <t>[2,1,,,9,6,,3,],
[9,3,8,4,,5,1,,6],
[5,,7,,1,3,,,4],
[7,,6,3,,2,8,9,],
[,2,5,9,4,8,6,7,],
[,8,9,1,,7,4,,2],
[8,,,6,3,,5,,9],
[4,,1,7,,9,3,6,8],
[,9,,5,8,,,4,7],</t>
  </si>
  <si>
    <t>[8,7,1,2,9,6,4,,],
[2,,,,5,3,,9,],
[5,3,9,,4,7,,8,6],
[3,,8,7,,4,9,,2],
[9,5,,,1,,,6,4],
[7,,6,5,,9,8,,3],
[4,2,,9,8,,6,7,1],
[,9,,6,7,,,,8],
[,,7,4,3,1,5,2,9],</t>
  </si>
  <si>
    <t>[5,3,4,,2,,1,8,9],
[,,8,3,4,9,6,7,],
[9,7,,,8,1,2,,],
[,6,,8,,5,7,9,4],
[7,,1,,3,,5,,8],
[8,4,5,9,,6,,2,],
[,,9,2,6,,,1,7],
[,1,3,7,9,8,4,,],
[2,8,7,,5,,9,3,6],</t>
  </si>
  <si>
    <t>[9,6,4,7,8,2,5,,],
[8,1,,3,,,9,7,],
[7,2,3,,1,,4,6,8],
[4,,,,9,8,3,,],
[,8,6,4,7,5,2,1,],
[,,9,6,2,,,,4],
[5,3,1,,4,,8,2,7],
[,9,8,,,7,,4,5],
[,,7,8,5,1,6,9,3],</t>
  </si>
  <si>
    <t>[5,8,2,3,4,9,,6,],
[3,1,6,,7,8,,9,2],
[4,,,1,,,3,5,8],
[2,,1,9,,,,7,6],
[9,,,8,1,6,,,3],
[8,6,,,,7,9,,4],
[7,3,9,,,1,,,5],
[6,2,,7,8,,1,4,9],
[,4,,6,9,5,2,3,7],</t>
  </si>
  <si>
    <t>[9,,7,,2,8,3,4,],
[,2,3,,5,6,,9,7],
[6,1,,,,9,2,,5],
[3,,,7,6,1,8,5,],
[5,7,,2,9,3,,6,1],
[,6,1,5,8,4,,,9],
[4,,5,9,,,,2,8],
[7,8,,6,4,,9,1,],
[,9,6,8,3,,5,,4],</t>
  </si>
  <si>
    <t>[3,7,1,,9,,,,8],
[,6,8,,5,1,3,,9],
[9,4,5,8,,3,6,1,2],
[5,8,,1,,,4,9,],
[,,6,9,4,8,2,,],
[,2,9,,,5,,8,7],
[6,9,7,5,,2,8,3,4],
[8,,4,6,3,,7,2,],
[1,,,,8,,9,6,5],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</si>
</sst>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justify" vertical="center"/>
    </xf>
    <xf numFmtId="49" fontId="0" fillId="0" borderId="0" xfId="0" applyNumberFormat="1" applyFont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0" Type="http://schemas.openxmlformats.org/officeDocument/2006/relationships/image" Target="media/image80.png"/><Relationship Id="rId8" Type="http://schemas.openxmlformats.org/officeDocument/2006/relationships/image" Target="media/image8.png"/><Relationship Id="rId79" Type="http://schemas.openxmlformats.org/officeDocument/2006/relationships/image" Target="media/image79.png"/><Relationship Id="rId78" Type="http://schemas.openxmlformats.org/officeDocument/2006/relationships/image" Target="media/image78.png"/><Relationship Id="rId77" Type="http://schemas.openxmlformats.org/officeDocument/2006/relationships/image" Target="media/image77.png"/><Relationship Id="rId76" Type="http://schemas.openxmlformats.org/officeDocument/2006/relationships/image" Target="media/image76.png"/><Relationship Id="rId75" Type="http://schemas.openxmlformats.org/officeDocument/2006/relationships/image" Target="media/image75.png"/><Relationship Id="rId74" Type="http://schemas.openxmlformats.org/officeDocument/2006/relationships/image" Target="media/image74.png"/><Relationship Id="rId73" Type="http://schemas.openxmlformats.org/officeDocument/2006/relationships/image" Target="media/image73.png"/><Relationship Id="rId72" Type="http://schemas.openxmlformats.org/officeDocument/2006/relationships/image" Target="media/image72.png"/><Relationship Id="rId71" Type="http://schemas.openxmlformats.org/officeDocument/2006/relationships/image" Target="media/image71.png"/><Relationship Id="rId70" Type="http://schemas.openxmlformats.org/officeDocument/2006/relationships/image" Target="media/image70.png"/><Relationship Id="rId7" Type="http://schemas.openxmlformats.org/officeDocument/2006/relationships/image" Target="media/image7.png"/><Relationship Id="rId69" Type="http://schemas.openxmlformats.org/officeDocument/2006/relationships/image" Target="media/image69.png"/><Relationship Id="rId68" Type="http://schemas.openxmlformats.org/officeDocument/2006/relationships/image" Target="media/image68.png"/><Relationship Id="rId67" Type="http://schemas.openxmlformats.org/officeDocument/2006/relationships/image" Target="media/image67.png"/><Relationship Id="rId66" Type="http://schemas.openxmlformats.org/officeDocument/2006/relationships/image" Target="media/image66.png"/><Relationship Id="rId65" Type="http://schemas.openxmlformats.org/officeDocument/2006/relationships/image" Target="media/image65.png"/><Relationship Id="rId64" Type="http://schemas.openxmlformats.org/officeDocument/2006/relationships/image" Target="media/image64.png"/><Relationship Id="rId63" Type="http://schemas.openxmlformats.org/officeDocument/2006/relationships/image" Target="media/image63.png"/><Relationship Id="rId62" Type="http://schemas.openxmlformats.org/officeDocument/2006/relationships/image" Target="media/image62.png"/><Relationship Id="rId61" Type="http://schemas.openxmlformats.org/officeDocument/2006/relationships/image" Target="media/image61.png"/><Relationship Id="rId60" Type="http://schemas.openxmlformats.org/officeDocument/2006/relationships/image" Target="media/image60.png"/><Relationship Id="rId6" Type="http://schemas.openxmlformats.org/officeDocument/2006/relationships/image" Target="media/image6.png"/><Relationship Id="rId59" Type="http://schemas.openxmlformats.org/officeDocument/2006/relationships/image" Target="media/image59.png"/><Relationship Id="rId58" Type="http://schemas.openxmlformats.org/officeDocument/2006/relationships/image" Target="media/image58.png"/><Relationship Id="rId57" Type="http://schemas.openxmlformats.org/officeDocument/2006/relationships/image" Target="media/image57.png"/><Relationship Id="rId56" Type="http://schemas.openxmlformats.org/officeDocument/2006/relationships/image" Target="media/image56.png"/><Relationship Id="rId55" Type="http://schemas.openxmlformats.org/officeDocument/2006/relationships/image" Target="media/image55.png"/><Relationship Id="rId54" Type="http://schemas.openxmlformats.org/officeDocument/2006/relationships/image" Target="media/image54.png"/><Relationship Id="rId53" Type="http://schemas.openxmlformats.org/officeDocument/2006/relationships/image" Target="media/image53.png"/><Relationship Id="rId52" Type="http://schemas.openxmlformats.org/officeDocument/2006/relationships/image" Target="media/image52.png"/><Relationship Id="rId51" Type="http://schemas.openxmlformats.org/officeDocument/2006/relationships/image" Target="media/image51.png"/><Relationship Id="rId50" Type="http://schemas.openxmlformats.org/officeDocument/2006/relationships/image" Target="media/image50.png"/><Relationship Id="rId5" Type="http://schemas.openxmlformats.org/officeDocument/2006/relationships/image" Target="media/image5.png"/><Relationship Id="rId49" Type="http://schemas.openxmlformats.org/officeDocument/2006/relationships/image" Target="media/image49.png"/><Relationship Id="rId48" Type="http://schemas.openxmlformats.org/officeDocument/2006/relationships/image" Target="media/image48.png"/><Relationship Id="rId47" Type="http://schemas.openxmlformats.org/officeDocument/2006/relationships/image" Target="media/image47.png"/><Relationship Id="rId46" Type="http://schemas.openxmlformats.org/officeDocument/2006/relationships/image" Target="media/image46.png"/><Relationship Id="rId45" Type="http://schemas.openxmlformats.org/officeDocument/2006/relationships/image" Target="media/image45.png"/><Relationship Id="rId44" Type="http://schemas.openxmlformats.org/officeDocument/2006/relationships/image" Target="media/image44.png"/><Relationship Id="rId43" Type="http://schemas.openxmlformats.org/officeDocument/2006/relationships/image" Target="media/image43.png"/><Relationship Id="rId42" Type="http://schemas.openxmlformats.org/officeDocument/2006/relationships/image" Target="media/image42.png"/><Relationship Id="rId41" Type="http://schemas.openxmlformats.org/officeDocument/2006/relationships/image" Target="media/image41.png"/><Relationship Id="rId40" Type="http://schemas.openxmlformats.org/officeDocument/2006/relationships/image" Target="media/image40.png"/><Relationship Id="rId4" Type="http://schemas.openxmlformats.org/officeDocument/2006/relationships/image" Target="media/image4.png"/><Relationship Id="rId39" Type="http://schemas.openxmlformats.org/officeDocument/2006/relationships/image" Target="media/image39.png"/><Relationship Id="rId38" Type="http://schemas.openxmlformats.org/officeDocument/2006/relationships/image" Target="media/image38.png"/><Relationship Id="rId37" Type="http://schemas.openxmlformats.org/officeDocument/2006/relationships/image" Target="media/image37.png"/><Relationship Id="rId36" Type="http://schemas.openxmlformats.org/officeDocument/2006/relationships/image" Target="media/image36.png"/><Relationship Id="rId35" Type="http://schemas.openxmlformats.org/officeDocument/2006/relationships/image" Target="media/image35.png"/><Relationship Id="rId34" Type="http://schemas.openxmlformats.org/officeDocument/2006/relationships/image" Target="media/image34.png"/><Relationship Id="rId33" Type="http://schemas.openxmlformats.org/officeDocument/2006/relationships/image" Target="media/image33.png"/><Relationship Id="rId32" Type="http://schemas.openxmlformats.org/officeDocument/2006/relationships/image" Target="media/image32.png"/><Relationship Id="rId31" Type="http://schemas.openxmlformats.org/officeDocument/2006/relationships/image" Target="media/image31.png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png"/><Relationship Id="rId27" Type="http://schemas.openxmlformats.org/officeDocument/2006/relationships/image" Target="media/image27.png"/><Relationship Id="rId26" Type="http://schemas.openxmlformats.org/officeDocument/2006/relationships/image" Target="media/image26.pn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pn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1"/>
  <sheetViews>
    <sheetView tabSelected="1" zoomScale="110" zoomScaleNormal="110" workbookViewId="0">
      <pane ySplit="1" topLeftCell="A2" activePane="bottomLeft" state="frozen"/>
      <selection/>
      <selection pane="bottomLeft" activeCell="K3" sqref="K3"/>
    </sheetView>
  </sheetViews>
  <sheetFormatPr defaultColWidth="9" defaultRowHeight="13.5"/>
  <cols>
    <col min="1" max="1" width="50" style="1" customWidth="1"/>
    <col min="2" max="3" width="20" style="1" customWidth="1"/>
    <col min="4" max="5" width="15" style="1" customWidth="1"/>
    <col min="6" max="6" width="10" style="1" customWidth="1"/>
    <col min="7" max="9" width="15" style="1" customWidth="1"/>
    <col min="10" max="16384" width="9" style="1"/>
  </cols>
  <sheetData>
    <row r="1" ht="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62" customHeight="1" spans="1:9">
      <c r="A2" s="3" t="s">
        <v>9</v>
      </c>
      <c r="B2" s="4" t="s">
        <v>10</v>
      </c>
      <c r="D2" s="5" t="s">
        <v>11</v>
      </c>
      <c r="E2" s="6">
        <v>5</v>
      </c>
      <c r="F2" s="7" t="str">
        <f>_xlfn.DISPIMG("ID_DFA929D5DD4442BBAFD68DA01A036A4A",1)</f>
        <v>=DISPIMG("ID_DFA929D5DD4442BBAFD68DA01A036A4A",1)</v>
      </c>
      <c r="G2" s="6">
        <v>9</v>
      </c>
      <c r="H2" s="6">
        <v>9</v>
      </c>
      <c r="I2" s="8" t="s">
        <v>12</v>
      </c>
    </row>
    <row r="3" ht="62" customHeight="1" spans="1:9">
      <c r="A3" s="3" t="s">
        <v>9</v>
      </c>
      <c r="D3" s="5" t="s">
        <v>11</v>
      </c>
      <c r="E3" s="6">
        <v>5</v>
      </c>
      <c r="F3" s="6" t="str">
        <f>_xlfn.DISPIMG("ID_9E018222EE544B48B6F7CDDF4FE1AE98",1)</f>
        <v>=DISPIMG("ID_9E018222EE544B48B6F7CDDF4FE1AE98",1)</v>
      </c>
      <c r="G3" s="6">
        <v>9</v>
      </c>
      <c r="H3" s="6">
        <v>9</v>
      </c>
      <c r="I3" s="8" t="s">
        <v>13</v>
      </c>
    </row>
    <row r="4" ht="62" customHeight="1" spans="1:9">
      <c r="A4" s="3" t="s">
        <v>9</v>
      </c>
      <c r="D4" s="5" t="s">
        <v>11</v>
      </c>
      <c r="E4" s="6">
        <v>5</v>
      </c>
      <c r="F4" s="6" t="str">
        <f>_xlfn.DISPIMG("ID_B9CAF67FDB2A4D458E0B17DB8AB826CB",1)</f>
        <v>=DISPIMG("ID_B9CAF67FDB2A4D458E0B17DB8AB826CB",1)</v>
      </c>
      <c r="G4" s="6">
        <v>9</v>
      </c>
      <c r="H4" s="6">
        <v>9</v>
      </c>
      <c r="I4" s="8" t="s">
        <v>14</v>
      </c>
    </row>
    <row r="5" ht="62" customHeight="1" spans="1:9">
      <c r="A5" s="3" t="s">
        <v>9</v>
      </c>
      <c r="D5" s="5" t="s">
        <v>11</v>
      </c>
      <c r="E5" s="6">
        <v>5</v>
      </c>
      <c r="F5" s="6" t="str">
        <f>_xlfn.DISPIMG("ID_14541724EFF64EC4A2D530214F46DE0C",1)</f>
        <v>=DISPIMG("ID_14541724EFF64EC4A2D530214F46DE0C",1)</v>
      </c>
      <c r="G5" s="6">
        <v>9</v>
      </c>
      <c r="H5" s="6">
        <v>9</v>
      </c>
      <c r="I5" s="8" t="s">
        <v>15</v>
      </c>
    </row>
    <row r="6" ht="62" customHeight="1" spans="1:9">
      <c r="A6" s="3" t="s">
        <v>9</v>
      </c>
      <c r="D6" s="5" t="s">
        <v>11</v>
      </c>
      <c r="E6" s="6">
        <v>5</v>
      </c>
      <c r="F6" s="6" t="str">
        <f>_xlfn.DISPIMG("ID_2F3EB11A2A86466DB27899DE9A2B7AEE",1)</f>
        <v>=DISPIMG("ID_2F3EB11A2A86466DB27899DE9A2B7AEE",1)</v>
      </c>
      <c r="G6" s="6">
        <v>9</v>
      </c>
      <c r="H6" s="6">
        <v>9</v>
      </c>
      <c r="I6" s="8" t="s">
        <v>16</v>
      </c>
    </row>
    <row r="7" ht="62" customHeight="1" spans="1:9">
      <c r="A7" s="3" t="s">
        <v>9</v>
      </c>
      <c r="D7" s="5" t="s">
        <v>11</v>
      </c>
      <c r="E7" s="6">
        <v>5</v>
      </c>
      <c r="F7" s="6" t="str">
        <f>_xlfn.DISPIMG("ID_DE639A705A0A4A6998A22A542A724127",1)</f>
        <v>=DISPIMG("ID_DE639A705A0A4A6998A22A542A724127",1)</v>
      </c>
      <c r="G7" s="6">
        <v>9</v>
      </c>
      <c r="H7" s="6">
        <v>9</v>
      </c>
      <c r="I7" s="8" t="s">
        <v>17</v>
      </c>
    </row>
    <row r="8" ht="62" customHeight="1" spans="1:9">
      <c r="A8" s="3" t="s">
        <v>9</v>
      </c>
      <c r="D8" s="5" t="s">
        <v>11</v>
      </c>
      <c r="E8" s="6">
        <v>5</v>
      </c>
      <c r="F8" s="6" t="str">
        <f>_xlfn.DISPIMG("ID_E7631F12C9464C49913AEA936CBE829B",1)</f>
        <v>=DISPIMG("ID_E7631F12C9464C49913AEA936CBE829B",1)</v>
      </c>
      <c r="G8" s="6">
        <v>9</v>
      </c>
      <c r="H8" s="6">
        <v>9</v>
      </c>
      <c r="I8" s="8" t="s">
        <v>18</v>
      </c>
    </row>
    <row r="9" ht="62" customHeight="1" spans="1:9">
      <c r="A9" s="3" t="s">
        <v>9</v>
      </c>
      <c r="D9" s="5" t="s">
        <v>11</v>
      </c>
      <c r="E9" s="6">
        <v>5</v>
      </c>
      <c r="F9" s="6" t="str">
        <f>_xlfn.DISPIMG("ID_27EE7F3287A440B88425120ACCC6FB05",1)</f>
        <v>=DISPIMG("ID_27EE7F3287A440B88425120ACCC6FB05",1)</v>
      </c>
      <c r="G9" s="6">
        <v>9</v>
      </c>
      <c r="H9" s="6">
        <v>9</v>
      </c>
      <c r="I9" s="8" t="s">
        <v>19</v>
      </c>
    </row>
    <row r="10" ht="62" customHeight="1" spans="1:9">
      <c r="A10" s="3" t="s">
        <v>9</v>
      </c>
      <c r="D10" s="5" t="s">
        <v>11</v>
      </c>
      <c r="E10" s="6">
        <v>5</v>
      </c>
      <c r="F10" s="6" t="str">
        <f>_xlfn.DISPIMG("ID_4F29BB47740E495FB775B367C915F4C5",1)</f>
        <v>=DISPIMG("ID_4F29BB47740E495FB775B367C915F4C5",1)</v>
      </c>
      <c r="G10" s="6">
        <v>9</v>
      </c>
      <c r="H10" s="6">
        <v>9</v>
      </c>
      <c r="I10" s="8" t="s">
        <v>20</v>
      </c>
    </row>
    <row r="11" ht="62" customHeight="1" spans="1:9">
      <c r="A11" s="3" t="s">
        <v>9</v>
      </c>
      <c r="D11" s="5" t="s">
        <v>11</v>
      </c>
      <c r="E11" s="6">
        <v>5</v>
      </c>
      <c r="F11" s="6" t="str">
        <f>_xlfn.DISPIMG("ID_EF5F42919C4B4A7895C22D7FDBC3A7D2",1)</f>
        <v>=DISPIMG("ID_EF5F42919C4B4A7895C22D7FDBC3A7D2",1)</v>
      </c>
      <c r="G11" s="6">
        <v>9</v>
      </c>
      <c r="H11" s="6">
        <v>9</v>
      </c>
      <c r="I11" s="8" t="s">
        <v>21</v>
      </c>
    </row>
    <row r="12" ht="62" customHeight="1" spans="1:9">
      <c r="A12" s="3" t="s">
        <v>9</v>
      </c>
      <c r="D12" s="5" t="s">
        <v>11</v>
      </c>
      <c r="E12" s="6">
        <v>5</v>
      </c>
      <c r="F12" s="6" t="str">
        <f>_xlfn.DISPIMG("ID_AD1A8454A16C40D4B3944B0B5A2D4144",1)</f>
        <v>=DISPIMG("ID_AD1A8454A16C40D4B3944B0B5A2D4144",1)</v>
      </c>
      <c r="G12" s="6">
        <v>9</v>
      </c>
      <c r="H12" s="6">
        <v>9</v>
      </c>
      <c r="I12" s="8" t="s">
        <v>22</v>
      </c>
    </row>
    <row r="13" ht="62" customHeight="1" spans="1:9">
      <c r="A13" s="3" t="s">
        <v>9</v>
      </c>
      <c r="D13" s="5" t="s">
        <v>11</v>
      </c>
      <c r="E13" s="6">
        <v>5</v>
      </c>
      <c r="F13" s="6" t="str">
        <f>_xlfn.DISPIMG("ID_D6A15BFB2B8F485BBA695A847C6F3223",1)</f>
        <v>=DISPIMG("ID_D6A15BFB2B8F485BBA695A847C6F3223",1)</v>
      </c>
      <c r="G13" s="6">
        <v>9</v>
      </c>
      <c r="H13" s="6">
        <v>9</v>
      </c>
      <c r="I13" s="8" t="s">
        <v>23</v>
      </c>
    </row>
    <row r="14" ht="62" customHeight="1" spans="1:9">
      <c r="A14" s="3" t="s">
        <v>9</v>
      </c>
      <c r="D14" s="5" t="s">
        <v>11</v>
      </c>
      <c r="E14" s="6">
        <v>5</v>
      </c>
      <c r="F14" s="6" t="str">
        <f>_xlfn.DISPIMG("ID_C54A75FD86AD40CEB35A035120A79DCB",1)</f>
        <v>=DISPIMG("ID_C54A75FD86AD40CEB35A035120A79DCB",1)</v>
      </c>
      <c r="G14" s="6">
        <v>9</v>
      </c>
      <c r="H14" s="6">
        <v>9</v>
      </c>
      <c r="I14" s="8" t="s">
        <v>24</v>
      </c>
    </row>
    <row r="15" ht="62" customHeight="1" spans="1:9">
      <c r="A15" s="3" t="s">
        <v>9</v>
      </c>
      <c r="D15" s="5" t="s">
        <v>11</v>
      </c>
      <c r="E15" s="6">
        <v>5</v>
      </c>
      <c r="F15" s="6" t="str">
        <f>_xlfn.DISPIMG("ID_1DE05B7C846B469499BED3AC8D8AD6D2",1)</f>
        <v>=DISPIMG("ID_1DE05B7C846B469499BED3AC8D8AD6D2",1)</v>
      </c>
      <c r="G15" s="6">
        <v>9</v>
      </c>
      <c r="H15" s="6">
        <v>9</v>
      </c>
      <c r="I15" s="8" t="s">
        <v>25</v>
      </c>
    </row>
    <row r="16" ht="62" customHeight="1" spans="1:9">
      <c r="A16" s="3" t="s">
        <v>9</v>
      </c>
      <c r="D16" s="5" t="s">
        <v>11</v>
      </c>
      <c r="E16" s="6">
        <v>5</v>
      </c>
      <c r="F16" s="6" t="str">
        <f>_xlfn.DISPIMG("ID_836047E615DC480297C05507F0E49A2A",1)</f>
        <v>=DISPIMG("ID_836047E615DC480297C05507F0E49A2A",1)</v>
      </c>
      <c r="G16" s="6">
        <v>9</v>
      </c>
      <c r="H16" s="6">
        <v>9</v>
      </c>
      <c r="I16" s="8" t="s">
        <v>26</v>
      </c>
    </row>
    <row r="17" ht="62" customHeight="1" spans="1:9">
      <c r="A17" s="3" t="s">
        <v>9</v>
      </c>
      <c r="D17" s="5" t="s">
        <v>11</v>
      </c>
      <c r="E17" s="6">
        <v>5</v>
      </c>
      <c r="F17" s="6" t="str">
        <f>_xlfn.DISPIMG("ID_002610F145234B55889E5847259E8A1A",1)</f>
        <v>=DISPIMG("ID_002610F145234B55889E5847259E8A1A",1)</v>
      </c>
      <c r="G17" s="6">
        <v>9</v>
      </c>
      <c r="H17" s="6">
        <v>9</v>
      </c>
      <c r="I17" s="8" t="s">
        <v>27</v>
      </c>
    </row>
    <row r="18" ht="62" customHeight="1" spans="1:9">
      <c r="A18" s="3" t="s">
        <v>9</v>
      </c>
      <c r="D18" s="5" t="s">
        <v>11</v>
      </c>
      <c r="E18" s="6">
        <v>5</v>
      </c>
      <c r="F18" s="6" t="str">
        <f>_xlfn.DISPIMG("ID_49E914F85A31443AB87DE6D5DA3D174E",1)</f>
        <v>=DISPIMG("ID_49E914F85A31443AB87DE6D5DA3D174E",1)</v>
      </c>
      <c r="G18" s="6">
        <v>9</v>
      </c>
      <c r="H18" s="6">
        <v>9</v>
      </c>
      <c r="I18" s="8" t="s">
        <v>28</v>
      </c>
    </row>
    <row r="19" ht="62" customHeight="1" spans="1:9">
      <c r="A19" s="3" t="s">
        <v>9</v>
      </c>
      <c r="D19" s="5" t="s">
        <v>11</v>
      </c>
      <c r="E19" s="6">
        <v>5</v>
      </c>
      <c r="F19" s="6" t="str">
        <f>_xlfn.DISPIMG("ID_367613E6ADAF436B8071175783077EF1",1)</f>
        <v>=DISPIMG("ID_367613E6ADAF436B8071175783077EF1",1)</v>
      </c>
      <c r="G19" s="6">
        <v>9</v>
      </c>
      <c r="H19" s="6">
        <v>9</v>
      </c>
      <c r="I19" s="8" t="s">
        <v>29</v>
      </c>
    </row>
    <row r="20" ht="62" customHeight="1" spans="1:9">
      <c r="A20" s="3" t="s">
        <v>9</v>
      </c>
      <c r="D20" s="5" t="s">
        <v>11</v>
      </c>
      <c r="E20" s="6">
        <v>5</v>
      </c>
      <c r="F20" s="6" t="str">
        <f>_xlfn.DISPIMG("ID_45D3ED18E1EC41FA97941400775C85E3",1)</f>
        <v>=DISPIMG("ID_45D3ED18E1EC41FA97941400775C85E3",1)</v>
      </c>
      <c r="G20" s="6">
        <v>9</v>
      </c>
      <c r="H20" s="6">
        <v>9</v>
      </c>
      <c r="I20" s="8" t="s">
        <v>30</v>
      </c>
    </row>
    <row r="21" ht="62" customHeight="1" spans="1:9">
      <c r="A21" s="3" t="s">
        <v>9</v>
      </c>
      <c r="D21" s="5" t="s">
        <v>11</v>
      </c>
      <c r="E21" s="6">
        <v>5</v>
      </c>
      <c r="F21" s="6" t="str">
        <f>_xlfn.DISPIMG("ID_7235CDB9FF0A4FC987754B1D1807E233",1)</f>
        <v>=DISPIMG("ID_7235CDB9FF0A4FC987754B1D1807E233",1)</v>
      </c>
      <c r="G21" s="6">
        <v>9</v>
      </c>
      <c r="H21" s="6">
        <v>9</v>
      </c>
      <c r="I21" s="8" t="s">
        <v>31</v>
      </c>
    </row>
    <row r="22" ht="62" customHeight="1" spans="1:9">
      <c r="A22" s="3" t="s">
        <v>9</v>
      </c>
      <c r="D22" s="5" t="s">
        <v>11</v>
      </c>
      <c r="E22" s="6">
        <v>5</v>
      </c>
      <c r="F22" s="9" t="str">
        <f>_xlfn.DISPIMG("ID_849DFDB3485445FF84CB0A7036683EBE",1)</f>
        <v>=DISPIMG("ID_849DFDB3485445FF84CB0A7036683EBE",1)</v>
      </c>
      <c r="G22" s="6">
        <v>9</v>
      </c>
      <c r="H22" s="6">
        <v>9</v>
      </c>
      <c r="I22" s="8" t="s">
        <v>32</v>
      </c>
    </row>
    <row r="23" ht="62" customHeight="1" spans="1:9">
      <c r="A23" s="3" t="s">
        <v>9</v>
      </c>
      <c r="D23" s="5" t="s">
        <v>11</v>
      </c>
      <c r="E23" s="6">
        <v>5</v>
      </c>
      <c r="F23" s="9" t="str">
        <f>_xlfn.DISPIMG("ID_70C1F81BA39A410DA48EA9228E2387B7",1)</f>
        <v>=DISPIMG("ID_70C1F81BA39A410DA48EA9228E2387B7",1)</v>
      </c>
      <c r="G23" s="6">
        <v>9</v>
      </c>
      <c r="H23" s="6">
        <v>9</v>
      </c>
      <c r="I23" s="8" t="s">
        <v>33</v>
      </c>
    </row>
    <row r="24" ht="62" customHeight="1" spans="1:9">
      <c r="A24" s="3" t="s">
        <v>9</v>
      </c>
      <c r="D24" s="5" t="s">
        <v>11</v>
      </c>
      <c r="E24" s="6">
        <v>5</v>
      </c>
      <c r="F24" s="9" t="str">
        <f>_xlfn.DISPIMG("ID_5366A092BC604811BBB4BDBFF4FADA6C",1)</f>
        <v>=DISPIMG("ID_5366A092BC604811BBB4BDBFF4FADA6C",1)</v>
      </c>
      <c r="G24" s="6">
        <v>9</v>
      </c>
      <c r="H24" s="6">
        <v>9</v>
      </c>
      <c r="I24" s="8" t="s">
        <v>34</v>
      </c>
    </row>
    <row r="25" ht="62" customHeight="1" spans="1:9">
      <c r="A25" s="3" t="s">
        <v>9</v>
      </c>
      <c r="D25" s="5" t="s">
        <v>11</v>
      </c>
      <c r="E25" s="6">
        <v>5</v>
      </c>
      <c r="F25" s="9" t="str">
        <f>_xlfn.DISPIMG("ID_3CB728AB6C14443B837EC489C15CCA85",1)</f>
        <v>=DISPIMG("ID_3CB728AB6C14443B837EC489C15CCA85",1)</v>
      </c>
      <c r="G25" s="6">
        <v>9</v>
      </c>
      <c r="H25" s="6">
        <v>9</v>
      </c>
      <c r="I25" s="8" t="s">
        <v>35</v>
      </c>
    </row>
    <row r="26" ht="62" customHeight="1" spans="1:9">
      <c r="A26" s="3" t="s">
        <v>9</v>
      </c>
      <c r="D26" s="5" t="s">
        <v>11</v>
      </c>
      <c r="E26" s="6">
        <v>5</v>
      </c>
      <c r="F26" s="9" t="str">
        <f>_xlfn.DISPIMG("ID_39C387CDA57D4191AC7CBC4BE69B4E60",1)</f>
        <v>=DISPIMG("ID_39C387CDA57D4191AC7CBC4BE69B4E60",1)</v>
      </c>
      <c r="G26" s="6">
        <v>9</v>
      </c>
      <c r="H26" s="6">
        <v>9</v>
      </c>
      <c r="I26" s="8" t="s">
        <v>36</v>
      </c>
    </row>
    <row r="27" ht="62" customHeight="1" spans="1:9">
      <c r="A27" s="3" t="s">
        <v>9</v>
      </c>
      <c r="D27" s="5" t="s">
        <v>11</v>
      </c>
      <c r="E27" s="6">
        <v>5</v>
      </c>
      <c r="F27" s="9" t="str">
        <f>_xlfn.DISPIMG("ID_E57AD237922148198767E53900D08D94",1)</f>
        <v>=DISPIMG("ID_E57AD237922148198767E53900D08D94",1)</v>
      </c>
      <c r="G27" s="6">
        <v>9</v>
      </c>
      <c r="H27" s="6">
        <v>9</v>
      </c>
      <c r="I27" s="8" t="s">
        <v>37</v>
      </c>
    </row>
    <row r="28" ht="62" customHeight="1" spans="1:9">
      <c r="A28" s="3" t="s">
        <v>9</v>
      </c>
      <c r="D28" s="5" t="s">
        <v>11</v>
      </c>
      <c r="E28" s="6">
        <v>5</v>
      </c>
      <c r="F28" s="9" t="str">
        <f>_xlfn.DISPIMG("ID_BC895E977F774D179A4728C7DFE14C8A",1)</f>
        <v>=DISPIMG("ID_BC895E977F774D179A4728C7DFE14C8A",1)</v>
      </c>
      <c r="G28" s="6">
        <v>9</v>
      </c>
      <c r="H28" s="6">
        <v>9</v>
      </c>
      <c r="I28" s="8" t="s">
        <v>38</v>
      </c>
    </row>
    <row r="29" ht="62" customHeight="1" spans="1:9">
      <c r="A29" s="3" t="s">
        <v>9</v>
      </c>
      <c r="D29" s="5" t="s">
        <v>11</v>
      </c>
      <c r="E29" s="6">
        <v>5</v>
      </c>
      <c r="F29" s="9" t="str">
        <f>_xlfn.DISPIMG("ID_E663AEF8641C434E87FB8A8646F1F660",1)</f>
        <v>=DISPIMG("ID_E663AEF8641C434E87FB8A8646F1F660",1)</v>
      </c>
      <c r="G29" s="6">
        <v>9</v>
      </c>
      <c r="H29" s="6">
        <v>9</v>
      </c>
      <c r="I29" s="8" t="s">
        <v>39</v>
      </c>
    </row>
    <row r="30" ht="62" customHeight="1" spans="1:9">
      <c r="A30" s="3" t="s">
        <v>9</v>
      </c>
      <c r="D30" s="5" t="s">
        <v>11</v>
      </c>
      <c r="E30" s="6">
        <v>5</v>
      </c>
      <c r="F30" s="9" t="str">
        <f>_xlfn.DISPIMG("ID_D049DCDF494B4055AFC59EBAC68049CF",1)</f>
        <v>=DISPIMG("ID_D049DCDF494B4055AFC59EBAC68049CF",1)</v>
      </c>
      <c r="G30" s="6">
        <v>9</v>
      </c>
      <c r="H30" s="6">
        <v>9</v>
      </c>
      <c r="I30" s="8" t="s">
        <v>40</v>
      </c>
    </row>
    <row r="31" ht="62" customHeight="1" spans="1:9">
      <c r="A31" s="3" t="s">
        <v>9</v>
      </c>
      <c r="D31" s="5" t="s">
        <v>11</v>
      </c>
      <c r="E31" s="6">
        <v>5</v>
      </c>
      <c r="F31" s="9" t="str">
        <f>_xlfn.DISPIMG("ID_16848F26248C4C9383B42D0FC0549910",1)</f>
        <v>=DISPIMG("ID_16848F26248C4C9383B42D0FC0549910",1)</v>
      </c>
      <c r="G31" s="6">
        <v>9</v>
      </c>
      <c r="H31" s="6">
        <v>9</v>
      </c>
      <c r="I31" s="8" t="s">
        <v>41</v>
      </c>
    </row>
    <row r="32" ht="62" customHeight="1" spans="1:9">
      <c r="A32" s="3" t="s">
        <v>9</v>
      </c>
      <c r="D32" s="5" t="s">
        <v>11</v>
      </c>
      <c r="E32" s="6">
        <v>5</v>
      </c>
      <c r="F32" s="9" t="str">
        <f>_xlfn.DISPIMG("ID_0EE9007895FC416B9F7752C1DC9DE2D6",1)</f>
        <v>=DISPIMG("ID_0EE9007895FC416B9F7752C1DC9DE2D6",1)</v>
      </c>
      <c r="G32" s="6">
        <v>9</v>
      </c>
      <c r="H32" s="6">
        <v>9</v>
      </c>
      <c r="I32" s="8" t="s">
        <v>42</v>
      </c>
    </row>
    <row r="33" ht="62" customHeight="1" spans="1:9">
      <c r="A33" s="3" t="s">
        <v>9</v>
      </c>
      <c r="D33" s="5" t="s">
        <v>11</v>
      </c>
      <c r="E33" s="6">
        <v>5</v>
      </c>
      <c r="F33" s="9" t="str">
        <f>_xlfn.DISPIMG("ID_3278EF5C85704E8E9B6DB1FD16AEBD82",1)</f>
        <v>=DISPIMG("ID_3278EF5C85704E8E9B6DB1FD16AEBD82",1)</v>
      </c>
      <c r="G33" s="6">
        <v>9</v>
      </c>
      <c r="H33" s="6">
        <v>9</v>
      </c>
      <c r="I33" s="8" t="s">
        <v>43</v>
      </c>
    </row>
    <row r="34" ht="62" customHeight="1" spans="1:9">
      <c r="A34" s="3" t="s">
        <v>9</v>
      </c>
      <c r="D34" s="5" t="s">
        <v>11</v>
      </c>
      <c r="E34" s="6">
        <v>5</v>
      </c>
      <c r="F34" s="9" t="str">
        <f>_xlfn.DISPIMG("ID_5655BF3F6240422CB43B6EC266F8C8C1",1)</f>
        <v>=DISPIMG("ID_5655BF3F6240422CB43B6EC266F8C8C1",1)</v>
      </c>
      <c r="G34" s="6">
        <v>9</v>
      </c>
      <c r="H34" s="6">
        <v>9</v>
      </c>
      <c r="I34" s="8" t="s">
        <v>44</v>
      </c>
    </row>
    <row r="35" ht="62" customHeight="1" spans="1:9">
      <c r="A35" s="3" t="s">
        <v>9</v>
      </c>
      <c r="D35" s="5" t="s">
        <v>11</v>
      </c>
      <c r="E35" s="6">
        <v>5</v>
      </c>
      <c r="F35" s="9" t="str">
        <f>_xlfn.DISPIMG("ID_B2CE6746992A4AE38FC329DEB0E898CE",1)</f>
        <v>=DISPIMG("ID_B2CE6746992A4AE38FC329DEB0E898CE",1)</v>
      </c>
      <c r="G35" s="6">
        <v>9</v>
      </c>
      <c r="H35" s="6">
        <v>9</v>
      </c>
      <c r="I35" s="8" t="s">
        <v>45</v>
      </c>
    </row>
    <row r="36" ht="62" customHeight="1" spans="1:9">
      <c r="A36" s="3" t="s">
        <v>9</v>
      </c>
      <c r="D36" s="5" t="s">
        <v>11</v>
      </c>
      <c r="E36" s="6">
        <v>5</v>
      </c>
      <c r="F36" s="9" t="str">
        <f>_xlfn.DISPIMG("ID_40669A2AF9AE4D11BB2CBA2155C9605B",1)</f>
        <v>=DISPIMG("ID_40669A2AF9AE4D11BB2CBA2155C9605B",1)</v>
      </c>
      <c r="G36" s="6">
        <v>9</v>
      </c>
      <c r="H36" s="6">
        <v>9</v>
      </c>
      <c r="I36" s="8" t="s">
        <v>46</v>
      </c>
    </row>
    <row r="37" ht="62" customHeight="1" spans="1:9">
      <c r="A37" s="3" t="s">
        <v>9</v>
      </c>
      <c r="D37" s="5" t="s">
        <v>11</v>
      </c>
      <c r="E37" s="6">
        <v>5</v>
      </c>
      <c r="F37" s="9" t="str">
        <f>_xlfn.DISPIMG("ID_F7FBF85623484DC5973552B08662DEF8",1)</f>
        <v>=DISPIMG("ID_F7FBF85623484DC5973552B08662DEF8",1)</v>
      </c>
      <c r="G37" s="6">
        <v>9</v>
      </c>
      <c r="H37" s="6">
        <v>9</v>
      </c>
      <c r="I37" s="8" t="s">
        <v>47</v>
      </c>
    </row>
    <row r="38" ht="62" customHeight="1" spans="1:9">
      <c r="A38" s="3" t="s">
        <v>9</v>
      </c>
      <c r="D38" s="5" t="s">
        <v>11</v>
      </c>
      <c r="E38" s="6">
        <v>5</v>
      </c>
      <c r="F38" s="9" t="str">
        <f>_xlfn.DISPIMG("ID_E6A9BEB65F7D4BACBFFAF1929B1AAB15",1)</f>
        <v>=DISPIMG("ID_E6A9BEB65F7D4BACBFFAF1929B1AAB15",1)</v>
      </c>
      <c r="G38" s="6">
        <v>9</v>
      </c>
      <c r="H38" s="6">
        <v>9</v>
      </c>
      <c r="I38" s="8" t="s">
        <v>48</v>
      </c>
    </row>
    <row r="39" ht="62" customHeight="1" spans="1:9">
      <c r="A39" s="3" t="s">
        <v>9</v>
      </c>
      <c r="D39" s="5" t="s">
        <v>11</v>
      </c>
      <c r="E39" s="6">
        <v>5</v>
      </c>
      <c r="F39" s="9" t="str">
        <f>_xlfn.DISPIMG("ID_B0ECAE5863FD49D791EEB2AB4027EC71",1)</f>
        <v>=DISPIMG("ID_B0ECAE5863FD49D791EEB2AB4027EC71",1)</v>
      </c>
      <c r="G39" s="6">
        <v>9</v>
      </c>
      <c r="H39" s="6">
        <v>9</v>
      </c>
      <c r="I39" s="8" t="s">
        <v>49</v>
      </c>
    </row>
    <row r="40" ht="62" customHeight="1" spans="1:9">
      <c r="A40" s="3" t="s">
        <v>9</v>
      </c>
      <c r="D40" s="5" t="s">
        <v>11</v>
      </c>
      <c r="E40" s="6">
        <v>5</v>
      </c>
      <c r="F40" s="9" t="str">
        <f>_xlfn.DISPIMG("ID_942477A3F17A485793A5A4DE5329DAB5",1)</f>
        <v>=DISPIMG("ID_942477A3F17A485793A5A4DE5329DAB5",1)</v>
      </c>
      <c r="G40" s="6">
        <v>9</v>
      </c>
      <c r="H40" s="6">
        <v>9</v>
      </c>
      <c r="I40" s="8" t="s">
        <v>50</v>
      </c>
    </row>
    <row r="41" ht="62" customHeight="1" spans="1:9">
      <c r="A41" s="3" t="s">
        <v>9</v>
      </c>
      <c r="D41" s="5" t="s">
        <v>11</v>
      </c>
      <c r="E41" s="6">
        <v>5</v>
      </c>
      <c r="F41" s="9" t="str">
        <f>_xlfn.DISPIMG("ID_55A916DEF3CF40AB89BC956DD7C93E91",1)</f>
        <v>=DISPIMG("ID_55A916DEF3CF40AB89BC956DD7C93E91",1)</v>
      </c>
      <c r="G41" s="6">
        <v>9</v>
      </c>
      <c r="H41" s="6">
        <v>9</v>
      </c>
      <c r="I41" s="8" t="s">
        <v>51</v>
      </c>
    </row>
    <row r="42" ht="62" customHeight="1" spans="1:9">
      <c r="A42" s="3" t="s">
        <v>9</v>
      </c>
      <c r="D42" s="5" t="s">
        <v>11</v>
      </c>
      <c r="E42" s="6">
        <v>5</v>
      </c>
      <c r="F42" s="9" t="str">
        <f>_xlfn.DISPIMG("ID_C866403166A644429C0F10B1BA02619A",1)</f>
        <v>=DISPIMG("ID_C866403166A644429C0F10B1BA02619A",1)</v>
      </c>
      <c r="G42" s="6">
        <v>9</v>
      </c>
      <c r="H42" s="6">
        <v>9</v>
      </c>
      <c r="I42" s="8" t="s">
        <v>52</v>
      </c>
    </row>
    <row r="43" ht="62" customHeight="1" spans="1:9">
      <c r="A43" s="3" t="s">
        <v>9</v>
      </c>
      <c r="D43" s="5" t="s">
        <v>11</v>
      </c>
      <c r="E43" s="6">
        <v>5</v>
      </c>
      <c r="F43" s="9" t="str">
        <f>_xlfn.DISPIMG("ID_DB5650708F0A4000A7DBA788FBC95A24",1)</f>
        <v>=DISPIMG("ID_DB5650708F0A4000A7DBA788FBC95A24",1)</v>
      </c>
      <c r="G43" s="6">
        <v>9</v>
      </c>
      <c r="H43" s="6">
        <v>9</v>
      </c>
      <c r="I43" s="8" t="s">
        <v>53</v>
      </c>
    </row>
    <row r="44" ht="62" customHeight="1" spans="1:9">
      <c r="A44" s="3" t="s">
        <v>9</v>
      </c>
      <c r="D44" s="5" t="s">
        <v>11</v>
      </c>
      <c r="E44" s="6">
        <v>5</v>
      </c>
      <c r="F44" s="9" t="str">
        <f>_xlfn.DISPIMG("ID_0DCA8819A89042ABAFFF3A8E4FD647B2",1)</f>
        <v>=DISPIMG("ID_0DCA8819A89042ABAFFF3A8E4FD647B2",1)</v>
      </c>
      <c r="G44" s="6">
        <v>9</v>
      </c>
      <c r="H44" s="6">
        <v>9</v>
      </c>
      <c r="I44" s="8" t="s">
        <v>54</v>
      </c>
    </row>
    <row r="45" ht="62" customHeight="1" spans="1:9">
      <c r="A45" s="3" t="s">
        <v>9</v>
      </c>
      <c r="D45" s="5" t="s">
        <v>11</v>
      </c>
      <c r="E45" s="6">
        <v>5</v>
      </c>
      <c r="F45" s="9" t="str">
        <f>_xlfn.DISPIMG("ID_23C70006EC6E46A7B0C81E1DB75BBAF6",1)</f>
        <v>=DISPIMG("ID_23C70006EC6E46A7B0C81E1DB75BBAF6",1)</v>
      </c>
      <c r="G45" s="6">
        <v>9</v>
      </c>
      <c r="H45" s="6">
        <v>9</v>
      </c>
      <c r="I45" s="8" t="s">
        <v>55</v>
      </c>
    </row>
    <row r="46" ht="62" customHeight="1" spans="1:9">
      <c r="A46" s="3" t="s">
        <v>9</v>
      </c>
      <c r="D46" s="5" t="s">
        <v>11</v>
      </c>
      <c r="E46" s="6">
        <v>5</v>
      </c>
      <c r="F46" s="9" t="str">
        <f>_xlfn.DISPIMG("ID_52545B9FB04D4BA790642982881BCA3E",1)</f>
        <v>=DISPIMG("ID_52545B9FB04D4BA790642982881BCA3E",1)</v>
      </c>
      <c r="G46" s="6">
        <v>9</v>
      </c>
      <c r="H46" s="6">
        <v>9</v>
      </c>
      <c r="I46" s="8" t="s">
        <v>56</v>
      </c>
    </row>
    <row r="47" ht="62" customHeight="1" spans="1:9">
      <c r="A47" s="3" t="s">
        <v>9</v>
      </c>
      <c r="D47" s="5" t="s">
        <v>11</v>
      </c>
      <c r="E47" s="6">
        <v>5</v>
      </c>
      <c r="F47" s="9" t="str">
        <f>_xlfn.DISPIMG("ID_0ACB74E728024302A90B6EBA4FB554E4",1)</f>
        <v>=DISPIMG("ID_0ACB74E728024302A90B6EBA4FB554E4",1)</v>
      </c>
      <c r="G47" s="6">
        <v>9</v>
      </c>
      <c r="H47" s="6">
        <v>9</v>
      </c>
      <c r="I47" s="8" t="s">
        <v>57</v>
      </c>
    </row>
    <row r="48" ht="62" customHeight="1" spans="1:9">
      <c r="A48" s="3" t="s">
        <v>9</v>
      </c>
      <c r="D48" s="5" t="s">
        <v>11</v>
      </c>
      <c r="E48" s="6">
        <v>5</v>
      </c>
      <c r="F48" s="9" t="str">
        <f>_xlfn.DISPIMG("ID_EF97D1A6A7C84889A8A4FFF257C77F3B",1)</f>
        <v>=DISPIMG("ID_EF97D1A6A7C84889A8A4FFF257C77F3B",1)</v>
      </c>
      <c r="G48" s="6">
        <v>9</v>
      </c>
      <c r="H48" s="6">
        <v>9</v>
      </c>
      <c r="I48" s="8" t="s">
        <v>58</v>
      </c>
    </row>
    <row r="49" ht="62" customHeight="1" spans="1:9">
      <c r="A49" s="3" t="s">
        <v>9</v>
      </c>
      <c r="D49" s="5" t="s">
        <v>11</v>
      </c>
      <c r="E49" s="6">
        <v>5</v>
      </c>
      <c r="F49" s="9" t="str">
        <f>_xlfn.DISPIMG("ID_B349A0CE410040609F599EA33EA2D849",1)</f>
        <v>=DISPIMG("ID_B349A0CE410040609F599EA33EA2D849",1)</v>
      </c>
      <c r="G49" s="6">
        <v>9</v>
      </c>
      <c r="H49" s="6">
        <v>9</v>
      </c>
      <c r="I49" s="8" t="s">
        <v>59</v>
      </c>
    </row>
    <row r="50" ht="62" customHeight="1" spans="1:9">
      <c r="A50" s="3" t="s">
        <v>9</v>
      </c>
      <c r="D50" s="5" t="s">
        <v>11</v>
      </c>
      <c r="E50" s="6">
        <v>5</v>
      </c>
      <c r="F50" s="9" t="str">
        <f>_xlfn.DISPIMG("ID_1500184D7137434B87FD7EE000097B46",1)</f>
        <v>=DISPIMG("ID_1500184D7137434B87FD7EE000097B46",1)</v>
      </c>
      <c r="G50" s="6">
        <v>9</v>
      </c>
      <c r="H50" s="6">
        <v>9</v>
      </c>
      <c r="I50" s="8" t="s">
        <v>60</v>
      </c>
    </row>
    <row r="51" ht="62" customHeight="1" spans="1:9">
      <c r="A51" s="3" t="s">
        <v>9</v>
      </c>
      <c r="D51" s="5" t="s">
        <v>11</v>
      </c>
      <c r="E51" s="6">
        <v>5</v>
      </c>
      <c r="F51" s="9" t="str">
        <f>_xlfn.DISPIMG("ID_C57D889E5A724BD1AF7E8E3449E95A61",1)</f>
        <v>=DISPIMG("ID_C57D889E5A724BD1AF7E8E3449E95A61",1)</v>
      </c>
      <c r="G51" s="6">
        <v>9</v>
      </c>
      <c r="H51" s="6">
        <v>9</v>
      </c>
      <c r="I51" s="8" t="s">
        <v>61</v>
      </c>
    </row>
    <row r="52" ht="62" customHeight="1" spans="1:9">
      <c r="A52" s="3" t="s">
        <v>9</v>
      </c>
      <c r="D52" s="5" t="s">
        <v>11</v>
      </c>
      <c r="E52" s="6">
        <v>5</v>
      </c>
      <c r="F52" s="9" t="str">
        <f>_xlfn.DISPIMG("ID_4C3B731202EF4918961B23DC6588B0BA",1)</f>
        <v>=DISPIMG("ID_4C3B731202EF4918961B23DC6588B0BA",1)</v>
      </c>
      <c r="G52" s="6">
        <v>9</v>
      </c>
      <c r="H52" s="6">
        <v>9</v>
      </c>
      <c r="I52" s="8" t="s">
        <v>62</v>
      </c>
    </row>
    <row r="53" ht="62" customHeight="1" spans="1:9">
      <c r="A53" s="3" t="s">
        <v>9</v>
      </c>
      <c r="D53" s="5" t="s">
        <v>11</v>
      </c>
      <c r="E53" s="6">
        <v>5</v>
      </c>
      <c r="F53" s="9" t="str">
        <f>_xlfn.DISPIMG("ID_9C909CF5331144038C12D98B50F52AF6",1)</f>
        <v>=DISPIMG("ID_9C909CF5331144038C12D98B50F52AF6",1)</v>
      </c>
      <c r="G53" s="6">
        <v>9</v>
      </c>
      <c r="H53" s="6">
        <v>9</v>
      </c>
      <c r="I53" s="8" t="s">
        <v>63</v>
      </c>
    </row>
    <row r="54" ht="62" customHeight="1" spans="1:9">
      <c r="A54" s="3" t="s">
        <v>9</v>
      </c>
      <c r="D54" s="5" t="s">
        <v>11</v>
      </c>
      <c r="E54" s="6">
        <v>5</v>
      </c>
      <c r="F54" s="9" t="str">
        <f>_xlfn.DISPIMG("ID_5CC69878F8D94CD28989FAD69BE75829",1)</f>
        <v>=DISPIMG("ID_5CC69878F8D94CD28989FAD69BE75829",1)</v>
      </c>
      <c r="G54" s="6">
        <v>9</v>
      </c>
      <c r="H54" s="6">
        <v>9</v>
      </c>
      <c r="I54" s="8" t="s">
        <v>64</v>
      </c>
    </row>
    <row r="55" ht="62" customHeight="1" spans="1:9">
      <c r="A55" s="3" t="s">
        <v>9</v>
      </c>
      <c r="D55" s="5" t="s">
        <v>11</v>
      </c>
      <c r="E55" s="6">
        <v>5</v>
      </c>
      <c r="F55" s="9" t="str">
        <f>_xlfn.DISPIMG("ID_2502377B8E6347779B67D9C55F68663B",1)</f>
        <v>=DISPIMG("ID_2502377B8E6347779B67D9C55F68663B",1)</v>
      </c>
      <c r="G55" s="6">
        <v>9</v>
      </c>
      <c r="H55" s="6">
        <v>9</v>
      </c>
      <c r="I55" s="8" t="s">
        <v>65</v>
      </c>
    </row>
    <row r="56" ht="62" customHeight="1" spans="1:9">
      <c r="A56" s="3" t="s">
        <v>9</v>
      </c>
      <c r="D56" s="5" t="s">
        <v>11</v>
      </c>
      <c r="E56" s="6">
        <v>5</v>
      </c>
      <c r="F56" s="9" t="str">
        <f>_xlfn.DISPIMG("ID_0791D96E5A9C47E9800D66B0CB597071",1)</f>
        <v>=DISPIMG("ID_0791D96E5A9C47E9800D66B0CB597071",1)</v>
      </c>
      <c r="G56" s="6">
        <v>9</v>
      </c>
      <c r="H56" s="6">
        <v>9</v>
      </c>
      <c r="I56" s="8" t="s">
        <v>66</v>
      </c>
    </row>
    <row r="57" ht="62" customHeight="1" spans="1:9">
      <c r="A57" s="3" t="s">
        <v>9</v>
      </c>
      <c r="D57" s="5" t="s">
        <v>11</v>
      </c>
      <c r="E57" s="6">
        <v>5</v>
      </c>
      <c r="F57" s="9" t="str">
        <f>_xlfn.DISPIMG("ID_04F1BC0C0F8D41309C0C62AEA5B71EEB",1)</f>
        <v>=DISPIMG("ID_04F1BC0C0F8D41309C0C62AEA5B71EEB",1)</v>
      </c>
      <c r="G57" s="6">
        <v>9</v>
      </c>
      <c r="H57" s="6">
        <v>9</v>
      </c>
      <c r="I57" s="8" t="s">
        <v>67</v>
      </c>
    </row>
    <row r="58" ht="62" customHeight="1" spans="1:9">
      <c r="A58" s="3" t="s">
        <v>9</v>
      </c>
      <c r="D58" s="5" t="s">
        <v>11</v>
      </c>
      <c r="E58" s="6">
        <v>5</v>
      </c>
      <c r="F58" s="9" t="str">
        <f>_xlfn.DISPIMG("ID_9276390247DE4FA698800BCE767F7BFC",1)</f>
        <v>=DISPIMG("ID_9276390247DE4FA698800BCE767F7BFC",1)</v>
      </c>
      <c r="G58" s="6">
        <v>9</v>
      </c>
      <c r="H58" s="6">
        <v>9</v>
      </c>
      <c r="I58" s="8" t="s">
        <v>68</v>
      </c>
    </row>
    <row r="59" ht="62" customHeight="1" spans="1:9">
      <c r="A59" s="3" t="s">
        <v>9</v>
      </c>
      <c r="D59" s="5" t="s">
        <v>11</v>
      </c>
      <c r="E59" s="6">
        <v>5</v>
      </c>
      <c r="F59" s="9" t="str">
        <f>_xlfn.DISPIMG("ID_3C348BB5B4F34C6B82DEB836FFD57B1C",1)</f>
        <v>=DISPIMG("ID_3C348BB5B4F34C6B82DEB836FFD57B1C",1)</v>
      </c>
      <c r="G59" s="6">
        <v>9</v>
      </c>
      <c r="H59" s="6">
        <v>9</v>
      </c>
      <c r="I59" s="8" t="s">
        <v>69</v>
      </c>
    </row>
    <row r="60" ht="62" customHeight="1" spans="1:9">
      <c r="A60" s="3" t="s">
        <v>9</v>
      </c>
      <c r="D60" s="5" t="s">
        <v>11</v>
      </c>
      <c r="E60" s="6">
        <v>5</v>
      </c>
      <c r="F60" s="9" t="str">
        <f>_xlfn.DISPIMG("ID_169EB192236C49B0AC2502A935AA35E9",1)</f>
        <v>=DISPIMG("ID_169EB192236C49B0AC2502A935AA35E9",1)</v>
      </c>
      <c r="G60" s="6">
        <v>9</v>
      </c>
      <c r="H60" s="6">
        <v>9</v>
      </c>
      <c r="I60" s="8" t="s">
        <v>70</v>
      </c>
    </row>
    <row r="61" ht="62" customHeight="1" spans="1:9">
      <c r="A61" s="3" t="s">
        <v>9</v>
      </c>
      <c r="D61" s="5" t="s">
        <v>11</v>
      </c>
      <c r="E61" s="6">
        <v>5</v>
      </c>
      <c r="F61" s="9" t="str">
        <f>_xlfn.DISPIMG("ID_80FCB43510F648B28FA08B115C07792A",1)</f>
        <v>=DISPIMG("ID_80FCB43510F648B28FA08B115C07792A",1)</v>
      </c>
      <c r="G61" s="6">
        <v>9</v>
      </c>
      <c r="H61" s="6">
        <v>9</v>
      </c>
      <c r="I61" s="8" t="s">
        <v>71</v>
      </c>
    </row>
    <row r="62" ht="62" customHeight="1" spans="1:9">
      <c r="A62" s="3" t="s">
        <v>9</v>
      </c>
      <c r="D62" s="5" t="s">
        <v>11</v>
      </c>
      <c r="E62" s="6">
        <v>5</v>
      </c>
      <c r="F62" s="9" t="str">
        <f>_xlfn.DISPIMG("ID_62FDD7C69E614090B3E18D4E1F668065",1)</f>
        <v>=DISPIMG("ID_62FDD7C69E614090B3E18D4E1F668065",1)</v>
      </c>
      <c r="G62" s="6">
        <v>9</v>
      </c>
      <c r="H62" s="6">
        <v>9</v>
      </c>
      <c r="I62" s="8" t="s">
        <v>72</v>
      </c>
    </row>
    <row r="63" ht="62" customHeight="1" spans="1:9">
      <c r="A63" s="3" t="s">
        <v>9</v>
      </c>
      <c r="D63" s="5" t="s">
        <v>11</v>
      </c>
      <c r="E63" s="6">
        <v>5</v>
      </c>
      <c r="F63" s="9" t="str">
        <f>_xlfn.DISPIMG("ID_BC22BD11753941DA859DAF7A6EE9326E",1)</f>
        <v>=DISPIMG("ID_BC22BD11753941DA859DAF7A6EE9326E",1)</v>
      </c>
      <c r="G63" s="6">
        <v>9</v>
      </c>
      <c r="H63" s="6">
        <v>9</v>
      </c>
      <c r="I63" s="8" t="s">
        <v>73</v>
      </c>
    </row>
    <row r="64" ht="62" customHeight="1" spans="1:9">
      <c r="A64" s="3" t="s">
        <v>9</v>
      </c>
      <c r="D64" s="5" t="s">
        <v>11</v>
      </c>
      <c r="E64" s="6">
        <v>5</v>
      </c>
      <c r="F64" s="9" t="str">
        <f>_xlfn.DISPIMG("ID_FFD8C96BBE35412DBCBFB49F0119DFE8",1)</f>
        <v>=DISPIMG("ID_FFD8C96BBE35412DBCBFB49F0119DFE8",1)</v>
      </c>
      <c r="G64" s="6">
        <v>9</v>
      </c>
      <c r="H64" s="6">
        <v>9</v>
      </c>
      <c r="I64" s="8" t="s">
        <v>74</v>
      </c>
    </row>
    <row r="65" ht="62" customHeight="1" spans="1:9">
      <c r="A65" s="3" t="s">
        <v>9</v>
      </c>
      <c r="D65" s="5" t="s">
        <v>11</v>
      </c>
      <c r="E65" s="6">
        <v>5</v>
      </c>
      <c r="F65" s="9" t="str">
        <f>_xlfn.DISPIMG("ID_C0C5175B46D540D1860FEB01B409870D",1)</f>
        <v>=DISPIMG("ID_C0C5175B46D540D1860FEB01B409870D",1)</v>
      </c>
      <c r="G65" s="6">
        <v>9</v>
      </c>
      <c r="H65" s="6">
        <v>9</v>
      </c>
      <c r="I65" s="8" t="s">
        <v>75</v>
      </c>
    </row>
    <row r="66" ht="62" customHeight="1" spans="1:9">
      <c r="A66" s="3" t="s">
        <v>9</v>
      </c>
      <c r="D66" s="5" t="s">
        <v>11</v>
      </c>
      <c r="E66" s="6">
        <v>5</v>
      </c>
      <c r="F66" s="9" t="str">
        <f>_xlfn.DISPIMG("ID_D78649DBE449481886237210F840B3A2",1)</f>
        <v>=DISPIMG("ID_D78649DBE449481886237210F840B3A2",1)</v>
      </c>
      <c r="G66" s="6">
        <v>9</v>
      </c>
      <c r="H66" s="6">
        <v>9</v>
      </c>
      <c r="I66" s="8" t="s">
        <v>76</v>
      </c>
    </row>
    <row r="67" ht="62" customHeight="1" spans="1:9">
      <c r="A67" s="3" t="s">
        <v>9</v>
      </c>
      <c r="D67" s="5" t="s">
        <v>11</v>
      </c>
      <c r="E67" s="6">
        <v>5</v>
      </c>
      <c r="F67" s="9" t="str">
        <f>_xlfn.DISPIMG("ID_C8A800BA68F5466494A27429498F8E6A",1)</f>
        <v>=DISPIMG("ID_C8A800BA68F5466494A27429498F8E6A",1)</v>
      </c>
      <c r="G67" s="6">
        <v>9</v>
      </c>
      <c r="H67" s="6">
        <v>9</v>
      </c>
      <c r="I67" s="8" t="s">
        <v>77</v>
      </c>
    </row>
    <row r="68" ht="62" customHeight="1" spans="1:9">
      <c r="A68" s="3" t="s">
        <v>9</v>
      </c>
      <c r="D68" s="5" t="s">
        <v>11</v>
      </c>
      <c r="E68" s="6">
        <v>5</v>
      </c>
      <c r="F68" s="9" t="str">
        <f>_xlfn.DISPIMG("ID_D5E5BD694FAB42E28A28A1A43F667DE0",1)</f>
        <v>=DISPIMG("ID_D5E5BD694FAB42E28A28A1A43F667DE0",1)</v>
      </c>
      <c r="G68" s="6">
        <v>9</v>
      </c>
      <c r="H68" s="6">
        <v>9</v>
      </c>
      <c r="I68" s="8" t="s">
        <v>78</v>
      </c>
    </row>
    <row r="69" ht="62" customHeight="1" spans="1:9">
      <c r="A69" s="3" t="s">
        <v>9</v>
      </c>
      <c r="D69" s="5" t="s">
        <v>11</v>
      </c>
      <c r="E69" s="6">
        <v>5</v>
      </c>
      <c r="F69" s="9" t="str">
        <f>_xlfn.DISPIMG("ID_6576BE5D7114487597F6CD378F37F53A",1)</f>
        <v>=DISPIMG("ID_6576BE5D7114487597F6CD378F37F53A",1)</v>
      </c>
      <c r="G69" s="6">
        <v>9</v>
      </c>
      <c r="H69" s="6">
        <v>9</v>
      </c>
      <c r="I69" s="8" t="s">
        <v>79</v>
      </c>
    </row>
    <row r="70" ht="62" customHeight="1" spans="1:9">
      <c r="A70" s="3" t="s">
        <v>9</v>
      </c>
      <c r="D70" s="5" t="s">
        <v>11</v>
      </c>
      <c r="E70" s="6">
        <v>5</v>
      </c>
      <c r="F70" s="9" t="str">
        <f>_xlfn.DISPIMG("ID_57DB944B0E0F4F0A9298FD0724A2F8C3",1)</f>
        <v>=DISPIMG("ID_57DB944B0E0F4F0A9298FD0724A2F8C3",1)</v>
      </c>
      <c r="G70" s="6">
        <v>9</v>
      </c>
      <c r="H70" s="6">
        <v>9</v>
      </c>
      <c r="I70" s="8" t="s">
        <v>80</v>
      </c>
    </row>
    <row r="71" ht="62" customHeight="1" spans="1:9">
      <c r="A71" s="3" t="s">
        <v>9</v>
      </c>
      <c r="D71" s="5" t="s">
        <v>11</v>
      </c>
      <c r="E71" s="6">
        <v>5</v>
      </c>
      <c r="F71" s="9" t="str">
        <f>_xlfn.DISPIMG("ID_1B5EAFA19A814D538CC149CEB0DFE8C6",1)</f>
        <v>=DISPIMG("ID_1B5EAFA19A814D538CC149CEB0DFE8C6",1)</v>
      </c>
      <c r="G71" s="6">
        <v>9</v>
      </c>
      <c r="H71" s="6">
        <v>9</v>
      </c>
      <c r="I71" s="8" t="s">
        <v>81</v>
      </c>
    </row>
    <row r="72" ht="62" customHeight="1" spans="1:9">
      <c r="A72" s="3" t="s">
        <v>9</v>
      </c>
      <c r="D72" s="5" t="s">
        <v>11</v>
      </c>
      <c r="E72" s="6">
        <v>5</v>
      </c>
      <c r="F72" s="9" t="str">
        <f>_xlfn.DISPIMG("ID_F2E5477BA2B7496BA91E619A5DCD5EA4",1)</f>
        <v>=DISPIMG("ID_F2E5477BA2B7496BA91E619A5DCD5EA4",1)</v>
      </c>
      <c r="G72" s="6">
        <v>9</v>
      </c>
      <c r="H72" s="6">
        <v>9</v>
      </c>
      <c r="I72" s="8" t="s">
        <v>82</v>
      </c>
    </row>
    <row r="73" ht="62" customHeight="1" spans="1:9">
      <c r="A73" s="3" t="s">
        <v>9</v>
      </c>
      <c r="D73" s="5" t="s">
        <v>11</v>
      </c>
      <c r="E73" s="6">
        <v>5</v>
      </c>
      <c r="F73" s="9" t="str">
        <f>_xlfn.DISPIMG("ID_52A3FC73D99B4B69916BE3A3D616724A",1)</f>
        <v>=DISPIMG("ID_52A3FC73D99B4B69916BE3A3D616724A",1)</v>
      </c>
      <c r="G73" s="6">
        <v>9</v>
      </c>
      <c r="H73" s="6">
        <v>9</v>
      </c>
      <c r="I73" s="8" t="s">
        <v>83</v>
      </c>
    </row>
    <row r="74" ht="62" customHeight="1" spans="1:9">
      <c r="A74" s="3" t="s">
        <v>9</v>
      </c>
      <c r="D74" s="5" t="s">
        <v>11</v>
      </c>
      <c r="E74" s="6">
        <v>5</v>
      </c>
      <c r="F74" s="9" t="str">
        <f>_xlfn.DISPIMG("ID_9D611FFBC8E243DABA374047BE42F018",1)</f>
        <v>=DISPIMG("ID_9D611FFBC8E243DABA374047BE42F018",1)</v>
      </c>
      <c r="G74" s="6">
        <v>9</v>
      </c>
      <c r="H74" s="6">
        <v>9</v>
      </c>
      <c r="I74" s="8" t="s">
        <v>84</v>
      </c>
    </row>
    <row r="75" ht="62" customHeight="1" spans="1:9">
      <c r="A75" s="3" t="s">
        <v>9</v>
      </c>
      <c r="D75" s="5" t="s">
        <v>11</v>
      </c>
      <c r="E75" s="6">
        <v>5</v>
      </c>
      <c r="F75" s="9" t="str">
        <f>_xlfn.DISPIMG("ID_AAF7C47FB5244E5DB9FF249EDF0EAF19",1)</f>
        <v>=DISPIMG("ID_AAF7C47FB5244E5DB9FF249EDF0EAF19",1)</v>
      </c>
      <c r="G75" s="6">
        <v>9</v>
      </c>
      <c r="H75" s="6">
        <v>9</v>
      </c>
      <c r="I75" s="8" t="s">
        <v>85</v>
      </c>
    </row>
    <row r="76" ht="62" customHeight="1" spans="1:9">
      <c r="A76" s="3" t="s">
        <v>9</v>
      </c>
      <c r="D76" s="5" t="s">
        <v>11</v>
      </c>
      <c r="E76" s="6">
        <v>5</v>
      </c>
      <c r="F76" s="9" t="str">
        <f>_xlfn.DISPIMG("ID_0319E874DFAE4C4C93A2E0CEE15F6289",1)</f>
        <v>=DISPIMG("ID_0319E874DFAE4C4C93A2E0CEE15F6289",1)</v>
      </c>
      <c r="G76" s="6">
        <v>9</v>
      </c>
      <c r="H76" s="6">
        <v>9</v>
      </c>
      <c r="I76" s="8" t="s">
        <v>86</v>
      </c>
    </row>
    <row r="77" ht="62" customHeight="1" spans="1:9">
      <c r="A77" s="3" t="s">
        <v>9</v>
      </c>
      <c r="D77" s="5" t="s">
        <v>11</v>
      </c>
      <c r="E77" s="6">
        <v>5</v>
      </c>
      <c r="F77" s="9" t="str">
        <f>_xlfn.DISPIMG("ID_762F00637C144201BF504F14CA047FBE",1)</f>
        <v>=DISPIMG("ID_762F00637C144201BF504F14CA047FBE",1)</v>
      </c>
      <c r="G77" s="6">
        <v>9</v>
      </c>
      <c r="H77" s="6">
        <v>9</v>
      </c>
      <c r="I77" s="8" t="s">
        <v>87</v>
      </c>
    </row>
    <row r="78" ht="62" customHeight="1" spans="1:9">
      <c r="A78" s="3" t="s">
        <v>9</v>
      </c>
      <c r="D78" s="5" t="s">
        <v>11</v>
      </c>
      <c r="E78" s="6">
        <v>5</v>
      </c>
      <c r="F78" s="9" t="str">
        <f>_xlfn.DISPIMG("ID_6D327794475B4EC6924E701C855B471A",1)</f>
        <v>=DISPIMG("ID_6D327794475B4EC6924E701C855B471A",1)</v>
      </c>
      <c r="G78" s="6">
        <v>9</v>
      </c>
      <c r="H78" s="6">
        <v>9</v>
      </c>
      <c r="I78" s="8" t="s">
        <v>88</v>
      </c>
    </row>
    <row r="79" ht="62" customHeight="1" spans="1:9">
      <c r="A79" s="3" t="s">
        <v>9</v>
      </c>
      <c r="D79" s="5" t="s">
        <v>11</v>
      </c>
      <c r="E79" s="6">
        <v>5</v>
      </c>
      <c r="F79" s="9" t="str">
        <f>_xlfn.DISPIMG("ID_E4EF1574570F469587D681F6BDFCC0C8",1)</f>
        <v>=DISPIMG("ID_E4EF1574570F469587D681F6BDFCC0C8",1)</v>
      </c>
      <c r="G79" s="6">
        <v>9</v>
      </c>
      <c r="H79" s="6">
        <v>9</v>
      </c>
      <c r="I79" s="8" t="s">
        <v>89</v>
      </c>
    </row>
    <row r="80" ht="62" customHeight="1" spans="1:9">
      <c r="A80" s="3" t="s">
        <v>9</v>
      </c>
      <c r="D80" s="5" t="s">
        <v>11</v>
      </c>
      <c r="E80" s="6">
        <v>5</v>
      </c>
      <c r="F80" s="9" t="str">
        <f>_xlfn.DISPIMG("ID_00BAD0D13A92408C8D77D346C0FE4957",1)</f>
        <v>=DISPIMG("ID_00BAD0D13A92408C8D77D346C0FE4957",1)</v>
      </c>
      <c r="G80" s="6">
        <v>9</v>
      </c>
      <c r="H80" s="6">
        <v>9</v>
      </c>
      <c r="I80" s="8" t="s">
        <v>90</v>
      </c>
    </row>
    <row r="81" ht="62" customHeight="1" spans="1:9">
      <c r="A81" s="3" t="s">
        <v>9</v>
      </c>
      <c r="D81" s="5" t="s">
        <v>11</v>
      </c>
      <c r="E81" s="6">
        <v>5</v>
      </c>
      <c r="F81" s="9" t="str">
        <f>_xlfn.DISPIMG("ID_CF8B6682B2D048878FAECECBC8F4F7A0",1)</f>
        <v>=DISPIMG("ID_CF8B6682B2D048878FAECECBC8F4F7A0",1)</v>
      </c>
      <c r="G81" s="6">
        <v>9</v>
      </c>
      <c r="H81" s="6">
        <v>9</v>
      </c>
      <c r="I81" s="8" t="s">
        <v>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7-9九宫标准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SY三生石畔</cp:lastModifiedBy>
  <dcterms:created xsi:type="dcterms:W3CDTF">2026-04-02T01:29:34Z</dcterms:created>
  <dcterms:modified xsi:type="dcterms:W3CDTF">2026-04-02T01:29:34Z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28CA668126DE4F18B4098B48C6DFAA8E_11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